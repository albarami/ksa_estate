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تنفيذي" sheetId="1" state="visible" r:id="rId1"/>
    <sheet xmlns:r="http://schemas.openxmlformats.org/officeDocument/2006/relationships" name="الافتراضات" sheetId="2" state="visible" r:id="rId2"/>
    <sheet xmlns:r="http://schemas.openxmlformats.org/officeDocument/2006/relationships" name="التكاليف" sheetId="3" state="visible" r:id="rId3"/>
    <sheet xmlns:r="http://schemas.openxmlformats.org/officeDocument/2006/relationships" name="التدفقات النقدية" sheetId="4" state="visible" r:id="rId4"/>
    <sheet xmlns:r="http://schemas.openxmlformats.org/officeDocument/2006/relationships" name="تحليل الحساسية" sheetId="5" state="visible" r:id="rId5"/>
    <sheet xmlns:r="http://schemas.openxmlformats.org/officeDocument/2006/relationships" name="هيكل الصندو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(#,##0);_(* &quot;-&quot;??_);_(@_)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IBM Plex Sans Arabic"/>
      <b val="1"/>
      <color rgb="00FFFFFF"/>
      <sz val="11"/>
    </font>
    <font>
      <name val="IBM Plex Sans Arabic"/>
      <sz val="10"/>
    </font>
    <font>
      <name val="IBM Plex Sans Arabic"/>
      <b val="1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 wrapText="1"/>
    </xf>
    <xf numFmtId="49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10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right" vertical="center" wrapText="1"/>
    </xf>
    <xf numFmtId="0" fontId="4" fillId="0" borderId="0" pivotButton="0" quotePrefix="0" xfId="0"/>
    <xf numFmtId="166" fontId="2" fillId="0" borderId="1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3" fontId="3" fillId="0" borderId="0" applyAlignment="1" pivotButton="0" quotePrefix="0" xfId="0">
      <alignment horizontal="center" vertical="center"/>
    </xf>
    <xf numFmtId="3" fontId="2" fillId="0" borderId="0" pivotButton="0" quotePrefix="0" xfId="0"/>
    <xf numFmtId="10" fontId="0" fillId="4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التدفقات النقدية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'التدفقات النقدية'!$C$3:$E$3</f>
            </numRef>
          </cat>
          <val>
            <numRef>
              <f>'التدفقات النقدية'!$C$12:$E$12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هيكل رأس المال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'هيكل الصندوق'!$B$4:$B$5</f>
            </numRef>
          </cat>
          <val>
            <numRef>
              <f>'هيكل الصندوق'!$D$4:$D$5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30" customWidth="1" min="2" max="2"/>
    <col width="5" customWidth="1" min="3" max="3"/>
    <col width="25" customWidth="1" min="4" max="4"/>
  </cols>
  <sheetData>
    <row r="1">
      <c r="A1" s="1" t="n"/>
      <c r="B1" s="1" t="inlineStr">
        <is>
          <t>الملخص التنفيذي - صندوق استثمار عقاري</t>
        </is>
      </c>
      <c r="C1" s="2" t="n"/>
      <c r="D1" s="3" t="n"/>
      <c r="E1" s="1" t="n"/>
    </row>
    <row r="3">
      <c r="B3" s="4" t="inlineStr">
        <is>
          <t>رقم القطعة</t>
        </is>
      </c>
      <c r="D3" s="5" t="inlineStr">
        <is>
          <t>2045</t>
        </is>
      </c>
    </row>
    <row r="4">
      <c r="B4" s="4" t="inlineStr">
        <is>
          <t>رقم المخطط</t>
        </is>
      </c>
      <c r="D4" s="5" t="inlineStr">
        <is>
          <t>3114</t>
        </is>
      </c>
    </row>
    <row r="5">
      <c r="B5" s="4" t="inlineStr">
        <is>
          <t>الحي</t>
        </is>
      </c>
      <c r="D5" s="5" t="inlineStr">
        <is>
          <t>الملقا</t>
        </is>
      </c>
    </row>
    <row r="6">
      <c r="B6" s="4" t="inlineStr">
        <is>
          <t>البلدية</t>
        </is>
      </c>
      <c r="D6" s="5" t="inlineStr">
        <is>
          <t>قطاع شمال مدينة الرياض</t>
        </is>
      </c>
    </row>
    <row r="7">
      <c r="B7" s="4" t="inlineStr">
        <is>
          <t>مساحة الأرض (م²)</t>
        </is>
      </c>
      <c r="D7" s="6" t="n">
        <v>1507.3238979</v>
      </c>
    </row>
    <row r="8">
      <c r="B8" s="4" t="inlineStr">
        <is>
          <t>نظام البناء</t>
        </is>
      </c>
      <c r="D8" s="5" t="inlineStr">
        <is>
          <t>م 111</t>
        </is>
      </c>
    </row>
    <row r="10">
      <c r="B10" s="4" t="inlineStr">
        <is>
          <t>إجمالي حجم الصندوق</t>
        </is>
      </c>
      <c r="D10" s="6" t="n">
        <v>17297625.32062921</v>
      </c>
    </row>
    <row r="11">
      <c r="B11" s="4" t="inlineStr">
        <is>
          <t>حقوق الملكية</t>
        </is>
      </c>
      <c r="D11" s="6" t="n">
        <v>12270700.12113271</v>
      </c>
    </row>
    <row r="12">
      <c r="B12" s="4" t="inlineStr">
        <is>
          <t>التمويل البنكي</t>
        </is>
      </c>
      <c r="D12" s="6" t="n">
        <v>5026925.1994965</v>
      </c>
    </row>
    <row r="13">
      <c r="B13" s="4" t="inlineStr">
        <is>
          <t>إجمالي الإيرادات</t>
        </is>
      </c>
      <c r="D13" s="6" t="n">
        <v>12299763.006864</v>
      </c>
    </row>
    <row r="14">
      <c r="B14" s="4" t="inlineStr">
        <is>
          <t>صافي الربح</t>
        </is>
      </c>
      <c r="D14" s="6" t="n">
        <v>-4997862.313765202</v>
      </c>
    </row>
    <row r="16">
      <c r="B16" s="4" t="inlineStr">
        <is>
          <t>معدل العائد الداخلي (IRR)</t>
        </is>
      </c>
      <c r="D16" s="7" t="n">
        <v>-0.1600021265902021</v>
      </c>
    </row>
    <row r="17">
      <c r="B17" s="4" t="inlineStr">
        <is>
          <t>العائد على حقوق الملكية</t>
        </is>
      </c>
      <c r="D17" s="8" t="n">
        <v>-0.4073005015547434</v>
      </c>
    </row>
    <row r="18">
      <c r="B18" s="4" t="inlineStr">
        <is>
          <t>العائد السنوي</t>
        </is>
      </c>
      <c r="D18" s="7" t="n">
        <v>-0.1357668338515811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35" customWidth="1" min="2" max="2"/>
    <col width="5" customWidth="1" min="3" max="3"/>
    <col width="20" customWidth="1" min="4" max="4"/>
    <col width="12" customWidth="1" min="5" max="5"/>
  </cols>
  <sheetData>
    <row r="1">
      <c r="A1" s="1" t="n"/>
      <c r="B1" s="1" t="inlineStr">
        <is>
          <t>الافتراضات</t>
        </is>
      </c>
      <c r="C1" s="1" t="n"/>
      <c r="D1" s="1" t="n"/>
      <c r="E1" s="1" t="n"/>
    </row>
    <row r="3">
      <c r="A3" s="9" t="n"/>
      <c r="B3" s="10" t="inlineStr">
        <is>
          <t>افتراضات الأرض</t>
        </is>
      </c>
      <c r="C3" s="9" t="n"/>
      <c r="D3" s="9" t="n"/>
      <c r="E3" s="9" t="n"/>
    </row>
    <row r="4">
      <c r="B4" s="4" t="inlineStr">
        <is>
          <t>مساحة الأرض</t>
        </is>
      </c>
      <c r="D4" s="6" t="n">
        <v>1507.3238979</v>
      </c>
      <c r="E4" s="11" t="inlineStr">
        <is>
          <t>auto</t>
        </is>
      </c>
    </row>
    <row r="5">
      <c r="B5" s="4" t="inlineStr">
        <is>
          <t>سعر الاستحواذ بالمتر</t>
        </is>
      </c>
      <c r="D5" s="6" t="n">
        <v>5000</v>
      </c>
      <c r="E5" s="11" t="inlineStr">
        <is>
          <t>user</t>
        </is>
      </c>
    </row>
    <row r="6">
      <c r="B6" s="4" t="inlineStr">
        <is>
          <t>معامل البناء (FAR)</t>
        </is>
      </c>
      <c r="D6" s="12" t="n">
        <v>1.2</v>
      </c>
      <c r="E6" s="11" t="inlineStr">
        <is>
          <t>auto</t>
        </is>
      </c>
    </row>
    <row r="7">
      <c r="B7" s="4" t="inlineStr">
        <is>
          <t>عدد الأدوار</t>
        </is>
      </c>
      <c r="D7" s="13" t="n">
        <v>2</v>
      </c>
      <c r="E7" s="11" t="inlineStr">
        <is>
          <t>auto</t>
        </is>
      </c>
    </row>
    <row r="8">
      <c r="B8" s="4" t="inlineStr">
        <is>
          <t>نسبة التغطية</t>
        </is>
      </c>
      <c r="D8" s="8" t="n">
        <v>0.6</v>
      </c>
      <c r="E8" s="11" t="inlineStr">
        <is>
          <t>auto</t>
        </is>
      </c>
    </row>
    <row r="10">
      <c r="A10" s="9" t="n"/>
      <c r="B10" s="10" t="inlineStr">
        <is>
          <t>افتراضات التكاليف</t>
        </is>
      </c>
      <c r="C10" s="9" t="n"/>
      <c r="D10" s="9" t="n"/>
      <c r="E10" s="9" t="n"/>
    </row>
    <row r="11">
      <c r="B11" s="4" t="inlineStr">
        <is>
          <t>تكلفة البنية التحتية / م²</t>
        </is>
      </c>
      <c r="D11" s="6" t="n">
        <v>500</v>
      </c>
      <c r="E11" s="11" t="inlineStr">
        <is>
          <t>default</t>
        </is>
      </c>
    </row>
    <row r="12">
      <c r="B12" s="4" t="inlineStr">
        <is>
          <t>تكلفة البنية العلوية / م²</t>
        </is>
      </c>
      <c r="D12" s="6" t="n">
        <v>2500</v>
      </c>
      <c r="E12" s="11" t="inlineStr">
        <is>
          <t>default</t>
        </is>
      </c>
    </row>
    <row r="13">
      <c r="B13" s="4" t="inlineStr">
        <is>
          <t>أتعاب المطور</t>
        </is>
      </c>
      <c r="D13" s="8" t="n">
        <v>0.1</v>
      </c>
      <c r="E13" s="11" t="inlineStr">
        <is>
          <t>default</t>
        </is>
      </c>
    </row>
    <row r="14">
      <c r="B14" s="4" t="inlineStr">
        <is>
          <t>احتياطي</t>
        </is>
      </c>
      <c r="D14" s="8" t="n">
        <v>0.05</v>
      </c>
      <c r="E14" s="11" t="inlineStr">
        <is>
          <t>default</t>
        </is>
      </c>
    </row>
    <row r="16">
      <c r="A16" s="9" t="n"/>
      <c r="B16" s="10" t="inlineStr">
        <is>
          <t>افتراضات المبيعات</t>
        </is>
      </c>
      <c r="C16" s="9" t="n"/>
      <c r="D16" s="9" t="n"/>
      <c r="E16" s="9" t="n"/>
    </row>
    <row r="17">
      <c r="B17" s="4" t="inlineStr">
        <is>
          <t>سعر البيع / م²</t>
        </is>
      </c>
      <c r="D17" s="6" t="n">
        <v>8000</v>
      </c>
    </row>
    <row r="18">
      <c r="B18" s="4" t="inlineStr">
        <is>
          <t>نسبة الكفاءة</t>
        </is>
      </c>
      <c r="D18" s="8" t="n">
        <v>0.85</v>
      </c>
    </row>
    <row r="20">
      <c r="A20" s="9" t="n"/>
      <c r="B20" s="10" t="inlineStr">
        <is>
          <t>افتراضات التمويل</t>
        </is>
      </c>
      <c r="C20" s="9" t="n"/>
      <c r="D20" s="9" t="n"/>
      <c r="E20" s="9" t="n"/>
    </row>
    <row r="21">
      <c r="B21" s="4" t="inlineStr">
        <is>
          <t>نسبة التمويل البنكي</t>
        </is>
      </c>
      <c r="D21" s="8" t="n">
        <v>0.667</v>
      </c>
    </row>
    <row r="22">
      <c r="B22" s="4" t="inlineStr">
        <is>
          <t>معدل الفائدة</t>
        </is>
      </c>
      <c r="D22" s="7" t="n">
        <v>0.08</v>
      </c>
    </row>
    <row r="23">
      <c r="B23" s="4" t="inlineStr">
        <is>
          <t>مدة الصندوق (سنوات)</t>
        </is>
      </c>
      <c r="D23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cols>
    <col width="35" customWidth="1" min="2" max="2"/>
    <col width="22" customWidth="1" min="4" max="4"/>
  </cols>
  <sheetData>
    <row r="1">
      <c r="A1" s="1" t="n"/>
      <c r="B1" s="1" t="inlineStr">
        <is>
          <t>تفصيل التكاليف</t>
        </is>
      </c>
      <c r="C1" s="1" t="n"/>
      <c r="D1" s="1" t="n"/>
      <c r="E1" s="1" t="n"/>
    </row>
    <row r="3">
      <c r="A3" s="9" t="n"/>
      <c r="B3" s="10" t="inlineStr">
        <is>
          <t>تكاليف الأرض</t>
        </is>
      </c>
      <c r="C3" s="9" t="n"/>
      <c r="D3" s="9" t="n"/>
      <c r="E3" s="9" t="n"/>
    </row>
    <row r="4">
      <c r="B4" s="4" t="inlineStr">
        <is>
          <t>سعر الأرض</t>
        </is>
      </c>
      <c r="D4" s="6" t="n">
        <v>7536619.4895</v>
      </c>
    </row>
    <row r="5">
      <c r="B5" s="4" t="inlineStr">
        <is>
          <t>السعي</t>
        </is>
      </c>
      <c r="D5" s="6" t="n">
        <v>188415.4872375</v>
      </c>
    </row>
    <row r="6">
      <c r="B6" s="4" t="inlineStr">
        <is>
          <t>ضريبة التصرفات العقارية</t>
        </is>
      </c>
      <c r="D6" s="6" t="n">
        <v>376830.9744750001</v>
      </c>
    </row>
    <row r="7">
      <c r="B7" s="4" t="inlineStr">
        <is>
          <t>ضريبة السعي</t>
        </is>
      </c>
      <c r="D7" s="6" t="n">
        <v>28262.323085625</v>
      </c>
    </row>
    <row r="8">
      <c r="B8" s="14" t="inlineStr">
        <is>
          <t>إجمالي تكاليف الأرض</t>
        </is>
      </c>
      <c r="D8" s="6" t="n">
        <v>8130128.274298125</v>
      </c>
    </row>
    <row r="10">
      <c r="A10" s="9" t="n"/>
      <c r="B10" s="10" t="inlineStr">
        <is>
          <t>التكاليف المباشرة</t>
        </is>
      </c>
      <c r="C10" s="9" t="n"/>
      <c r="D10" s="9" t="n"/>
      <c r="E10" s="9" t="n"/>
    </row>
    <row r="11">
      <c r="B11" s="4" t="inlineStr">
        <is>
          <t>المساحة الإجمالية (GBA)</t>
        </is>
      </c>
      <c r="D11" s="6" t="n">
        <v>1808.78867748</v>
      </c>
    </row>
    <row r="12">
      <c r="B12" s="4" t="inlineStr">
        <is>
          <t>البنية التحتية</t>
        </is>
      </c>
      <c r="D12" s="6" t="n">
        <v>904394.3387399999</v>
      </c>
    </row>
    <row r="13">
      <c r="B13" s="4" t="inlineStr">
        <is>
          <t>البنية العلوية</t>
        </is>
      </c>
      <c r="D13" s="6" t="n">
        <v>4521971.6937</v>
      </c>
    </row>
    <row r="14">
      <c r="B14" s="4" t="inlineStr">
        <is>
          <t>المواقف</t>
        </is>
      </c>
      <c r="D14" s="6" t="n">
        <v>0</v>
      </c>
    </row>
    <row r="15">
      <c r="B15" s="4" t="inlineStr">
        <is>
          <t>إجمالي التكاليف المباشرة</t>
        </is>
      </c>
      <c r="D15" s="6" t="n">
        <v>5426366.032439999</v>
      </c>
    </row>
    <row r="17">
      <c r="A17" s="9" t="n"/>
      <c r="B17" s="10" t="inlineStr">
        <is>
          <t>التكاليف غير المباشرة</t>
        </is>
      </c>
      <c r="C17" s="9" t="n"/>
      <c r="D17" s="9" t="n"/>
      <c r="E17" s="9" t="n"/>
    </row>
    <row r="18">
      <c r="B18" s="4" t="inlineStr">
        <is>
          <t>أتعاب المطور</t>
        </is>
      </c>
      <c r="D18" s="6" t="n">
        <v>542636.603244</v>
      </c>
    </row>
    <row r="19">
      <c r="B19" s="4" t="inlineStr">
        <is>
          <t>تكاليف أخرى</t>
        </is>
      </c>
      <c r="D19" s="6" t="n">
        <v>325581.9619463999</v>
      </c>
    </row>
    <row r="20">
      <c r="B20" s="4" t="inlineStr">
        <is>
          <t>احتياطي</t>
        </is>
      </c>
      <c r="D20" s="6" t="n">
        <v>271318.301622</v>
      </c>
    </row>
    <row r="21">
      <c r="B21" s="4" t="inlineStr">
        <is>
          <t>إجمالي التكاليف غير المباشرة</t>
        </is>
      </c>
      <c r="D21" s="6" t="n">
        <v>1139536.8668124</v>
      </c>
    </row>
    <row r="23">
      <c r="A23" s="9" t="n"/>
      <c r="B23" s="10" t="inlineStr">
        <is>
          <t>رسوم الصندوق والتمويل</t>
        </is>
      </c>
      <c r="C23" s="9" t="n"/>
      <c r="D23" s="9" t="n"/>
      <c r="E23" s="9" t="n"/>
    </row>
    <row r="24">
      <c r="B24" s="4" t="inlineStr">
        <is>
          <t>فوائد التمويل</t>
        </is>
      </c>
      <c r="D24" s="6" t="n">
        <v>1206462.04787916</v>
      </c>
    </row>
    <row r="25">
      <c r="B25" s="4" t="inlineStr">
        <is>
          <t>رسوم إدارة الصندوق</t>
        </is>
      </c>
      <c r="D25" s="6" t="n">
        <v>220440.4676032579</v>
      </c>
    </row>
    <row r="26">
      <c r="B26" s="4" t="inlineStr">
        <is>
          <t>رسوم أمين الحفظ</t>
        </is>
      </c>
      <c r="D26" s="6" t="n">
        <v>150000</v>
      </c>
    </row>
    <row r="27">
      <c r="B27" s="4" t="inlineStr">
        <is>
          <t>مجلس الإدارة</t>
        </is>
      </c>
      <c r="D27" s="6" t="n">
        <v>300000</v>
      </c>
    </row>
    <row r="28">
      <c r="B28" s="4" t="inlineStr">
        <is>
          <t>رسوم هيكلة</t>
        </is>
      </c>
      <c r="D28" s="6" t="n">
        <v>109761.0652592311</v>
      </c>
    </row>
    <row r="29">
      <c r="B29" s="4" t="inlineStr">
        <is>
          <t>إجمالي رسوم الصندوق</t>
        </is>
      </c>
      <c r="D29" s="6" t="n">
        <v>1294593.59520959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8" customWidth="1" min="4" max="4"/>
    <col width="18" customWidth="1" min="5" max="5"/>
  </cols>
  <sheetData>
    <row r="1">
      <c r="A1" s="1" t="n"/>
      <c r="B1" s="1" t="inlineStr">
        <is>
          <t>التدفقات النقدية</t>
        </is>
      </c>
      <c r="C1" s="1" t="n"/>
      <c r="D1" s="1" t="n"/>
      <c r="E1" s="1" t="n"/>
    </row>
    <row r="3">
      <c r="B3" s="15" t="inlineStr">
        <is>
          <t>السنة</t>
        </is>
      </c>
      <c r="C3" s="16" t="inlineStr">
        <is>
          <t>Y1</t>
        </is>
      </c>
      <c r="D3" s="16" t="inlineStr">
        <is>
          <t>Y2</t>
        </is>
      </c>
      <c r="E3" s="16" t="inlineStr">
        <is>
          <t>Y3</t>
        </is>
      </c>
    </row>
    <row r="5">
      <c r="B5" s="4" t="inlineStr">
        <is>
          <t>المبيعات</t>
        </is>
      </c>
      <c r="C5" s="17" t="n">
        <v>0</v>
      </c>
      <c r="D5" s="17" t="n">
        <v>0</v>
      </c>
      <c r="E5" s="17" t="n">
        <v>12299763.006864</v>
      </c>
    </row>
    <row r="6">
      <c r="B6" s="4" t="inlineStr">
        <is>
          <t>تكاليف الأرض</t>
        </is>
      </c>
      <c r="C6" s="17" t="n">
        <v>8130128.274298125</v>
      </c>
      <c r="D6" s="17" t="n">
        <v>0</v>
      </c>
      <c r="E6" s="17" t="n">
        <v>0</v>
      </c>
    </row>
    <row r="7">
      <c r="B7" s="4" t="inlineStr">
        <is>
          <t>التكاليف المباشرة</t>
        </is>
      </c>
      <c r="C7" s="17" t="n">
        <v>1790700.7907052</v>
      </c>
      <c r="D7" s="17" t="n">
        <v>2441864.714598</v>
      </c>
      <c r="E7" s="17" t="n">
        <v>1193800.5271368</v>
      </c>
    </row>
    <row r="8">
      <c r="B8" s="4" t="inlineStr">
        <is>
          <t>التكاليف غير المباشرة</t>
        </is>
      </c>
      <c r="C8" s="17" t="n">
        <v>376047.166048092</v>
      </c>
      <c r="D8" s="17" t="n">
        <v>512791.59006558</v>
      </c>
      <c r="E8" s="17" t="n">
        <v>250698.110698728</v>
      </c>
    </row>
    <row r="9">
      <c r="B9" s="4" t="inlineStr">
        <is>
          <t>الفوائد</t>
        </is>
      </c>
      <c r="C9" s="17" t="n">
        <v>402154.01595972</v>
      </c>
      <c r="D9" s="17" t="n">
        <v>402154.01595972</v>
      </c>
      <c r="E9" s="17" t="n">
        <v>402154.01595972</v>
      </c>
    </row>
    <row r="10">
      <c r="B10" s="4" t="inlineStr">
        <is>
          <t>الرسوم</t>
        </is>
      </c>
      <c r="C10" s="17" t="n">
        <v>750346.4651770352</v>
      </c>
      <c r="D10" s="17" t="n">
        <v>335229.1571792809</v>
      </c>
      <c r="E10" s="17" t="n">
        <v>309556.4768432039</v>
      </c>
    </row>
    <row r="11">
      <c r="B11" s="14" t="inlineStr">
        <is>
          <t>إجمالي التدفقات الخارجة</t>
        </is>
      </c>
      <c r="C11" s="18" t="n">
        <v>11449376.71218817</v>
      </c>
      <c r="D11" s="18" t="n">
        <v>3692039.47780258</v>
      </c>
      <c r="E11" s="18" t="n">
        <v>2156209.130638452</v>
      </c>
    </row>
    <row r="12">
      <c r="B12" s="14" t="inlineStr">
        <is>
          <t>صافي التدفقات النقدية</t>
        </is>
      </c>
      <c r="C12" s="18" t="n">
        <v>-11449376.71218817</v>
      </c>
      <c r="D12" s="18" t="n">
        <v>-3692039.47780258</v>
      </c>
      <c r="E12" s="18" t="n">
        <v>10143553.87622555</v>
      </c>
    </row>
    <row r="13">
      <c r="B13" s="14" t="inlineStr">
        <is>
          <t>التدفقات التراكمية</t>
        </is>
      </c>
      <c r="C13" s="18" t="n">
        <v>-11449376.71218817</v>
      </c>
      <c r="D13" s="18" t="n">
        <v>-15141416.18999075</v>
      </c>
      <c r="E13" s="18" t="n">
        <v>-4997862.313765202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n"/>
      <c r="B1" s="1" t="inlineStr">
        <is>
          <t>تحليل الحساسية - IRR</t>
        </is>
      </c>
      <c r="C1" s="1" t="n"/>
      <c r="D1" s="1" t="n"/>
      <c r="E1" s="1" t="n"/>
      <c r="F1" s="1" t="n"/>
      <c r="G1" s="1" t="n"/>
    </row>
    <row r="3">
      <c r="B3" s="15" t="inlineStr">
        <is>
          <t>سعر البيع \ التكلفة</t>
        </is>
      </c>
      <c r="C3" s="19" t="n">
        <v>2400</v>
      </c>
      <c r="D3" s="19" t="n">
        <v>2700</v>
      </c>
      <c r="E3" s="19" t="n">
        <v>3000</v>
      </c>
      <c r="F3" s="19" t="n">
        <v>3300</v>
      </c>
      <c r="G3" s="19" t="n">
        <v>3600</v>
      </c>
    </row>
    <row r="4">
      <c r="B4" s="20" t="n">
        <v>6400</v>
      </c>
      <c r="C4" s="21" t="n">
        <v>-0.2398527130209613</v>
      </c>
      <c r="D4" s="21" t="n">
        <v>-0.2544561509233917</v>
      </c>
      <c r="E4" s="21" t="n">
        <v>-0.2679983609049315</v>
      </c>
      <c r="F4" s="21" t="n">
        <v>-0.2806073450694169</v>
      </c>
      <c r="G4" s="21" t="n">
        <v>-0.2923901307762899</v>
      </c>
    </row>
    <row r="5">
      <c r="B5" s="20" t="n">
        <v>7200</v>
      </c>
      <c r="C5" s="21" t="n">
        <v>-0.1799440908673977</v>
      </c>
      <c r="D5" s="21" t="n">
        <v>-0.1956984528847007</v>
      </c>
      <c r="E5" s="21" t="n">
        <v>-0.2103079496339582</v>
      </c>
      <c r="F5" s="21" t="n">
        <v>-0.2239106713029899</v>
      </c>
      <c r="G5" s="21" t="n">
        <v>-0.2366220802765915</v>
      </c>
    </row>
    <row r="6">
      <c r="B6" s="20" t="n">
        <v>8000</v>
      </c>
      <c r="C6" s="21" t="n">
        <v>-0.1277039962233032</v>
      </c>
      <c r="D6" s="21" t="n">
        <v>-0.1444619597678625</v>
      </c>
      <c r="E6" s="21" t="n">
        <v>-0.1600021265902021</v>
      </c>
      <c r="F6" s="21" t="n">
        <v>-0.1744713836496795</v>
      </c>
      <c r="G6" s="21" t="n">
        <v>-0.1879925486416761</v>
      </c>
    </row>
    <row r="7">
      <c r="B7" s="20" t="n">
        <v>8800</v>
      </c>
      <c r="C7" s="21" t="n">
        <v>-0.08106778494967015</v>
      </c>
      <c r="D7" s="21" t="n">
        <v>-0.09872169198703051</v>
      </c>
      <c r="E7" s="21" t="n">
        <v>-0.1150926943285248</v>
      </c>
      <c r="F7" s="21" t="n">
        <v>-0.1303355320604765</v>
      </c>
      <c r="G7" s="21" t="n">
        <v>-0.1445795891722379</v>
      </c>
    </row>
    <row r="8">
      <c r="B8" s="20" t="n">
        <v>9600</v>
      </c>
      <c r="C8" s="21" t="n">
        <v>-0.03873815190119356</v>
      </c>
      <c r="D8" s="21" t="n">
        <v>-0.05720526734992981</v>
      </c>
      <c r="E8" s="21" t="n">
        <v>-0.07433038246535972</v>
      </c>
      <c r="F8" s="21" t="n">
        <v>-0.09027536527095747</v>
      </c>
      <c r="G8" s="21" t="n">
        <v>-0.1051755596916369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25" customWidth="1" min="2" max="2"/>
    <col width="22" customWidth="1" min="4" max="4"/>
    <col width="12" customWidth="1" min="5" max="5"/>
  </cols>
  <sheetData>
    <row r="1">
      <c r="A1" s="1" t="n"/>
      <c r="B1" s="1" t="inlineStr">
        <is>
          <t>هيكل رأس المال</t>
        </is>
      </c>
      <c r="C1" s="1" t="n"/>
      <c r="D1" s="1" t="n"/>
      <c r="E1" s="1" t="n"/>
    </row>
    <row r="3">
      <c r="B3" s="15" t="inlineStr">
        <is>
          <t>المكون</t>
        </is>
      </c>
      <c r="D3" s="15" t="inlineStr">
        <is>
          <t>المبلغ (ر.س)</t>
        </is>
      </c>
      <c r="E3" s="15" t="inlineStr">
        <is>
          <t>النسبة</t>
        </is>
      </c>
    </row>
    <row r="4">
      <c r="B4" s="22" t="inlineStr">
        <is>
          <t>حقوق الملكية (Equity)</t>
        </is>
      </c>
      <c r="C4" s="23" t="n"/>
      <c r="D4" s="24" t="n">
        <v>12270700.12113271</v>
      </c>
      <c r="E4" s="25" t="n">
        <v>0.7093863980565371</v>
      </c>
    </row>
    <row r="5">
      <c r="B5" s="22" t="inlineStr">
        <is>
          <t>التمويل البنكي (Debt)</t>
        </is>
      </c>
      <c r="C5" s="23" t="n"/>
      <c r="D5" s="24" t="n">
        <v>5026925.1994965</v>
      </c>
      <c r="E5" s="25" t="n">
        <v>0.2906136019434629</v>
      </c>
    </row>
    <row r="6">
      <c r="B6" s="22" t="inlineStr">
        <is>
          <t>إجمالي رأس المال</t>
        </is>
      </c>
      <c r="C6" s="23" t="n"/>
      <c r="D6" s="24" t="n">
        <v>17297625.32062921</v>
      </c>
      <c r="E6" s="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2026-02-11T20:28:24Z</dcterms:created>
  <dcterms:modified xmlns:dcterms="http://purl.org/dc/terms/" xmlns:xsi="http://www.w3.org/2001/XMLSchema-instance" xsi:type="dcterms:W3CDTF">2026-02-11T20:28:24Z</dcterms:modified>
</cp:coreProperties>
</file>