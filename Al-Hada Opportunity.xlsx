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bmcksa-my.sharepoint.com/personal/n_khaled_solana_sa/Documents/Nada Khaled Solana/Opportunities/New Form/"/>
    </mc:Choice>
  </mc:AlternateContent>
  <xr:revisionPtr revIDLastSave="364" documentId="13_ncr:1_{5B9256A3-7011-F54E-B83F-1D4B0DF46237}" xr6:coauthVersionLast="47" xr6:coauthVersionMax="47" xr10:uidLastSave="{72C087AC-419D-434B-95CA-E974DA235545}"/>
  <bookViews>
    <workbookView xWindow="-108" yWindow="-108" windowWidth="23256" windowHeight="12456" xr2:uid="{00000000-000D-0000-FFFF-FFFF00000000}"/>
  </bookViews>
  <sheets>
    <sheet name="Assumptions" sheetId="1" r:id="rId1"/>
    <sheet name="CF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F14" i="1"/>
  <c r="F25" i="1" l="1"/>
  <c r="O14" i="1"/>
  <c r="N14" i="1"/>
  <c r="N15" i="1"/>
  <c r="O36" i="1"/>
  <c r="N37" i="1" l="1"/>
  <c r="O37" i="1"/>
  <c r="E73" i="1"/>
  <c r="F59" i="1"/>
  <c r="F49" i="1"/>
  <c r="N23" i="1"/>
  <c r="O20" i="1"/>
  <c r="O12" i="1"/>
  <c r="F32" i="1" l="1"/>
  <c r="F21" i="1"/>
  <c r="L34" i="1"/>
  <c r="L27" i="1"/>
  <c r="L26" i="1"/>
  <c r="N25" i="1"/>
  <c r="L25" i="1"/>
  <c r="L24" i="1"/>
  <c r="P23" i="1"/>
  <c r="O23" i="1"/>
  <c r="L23" i="1"/>
  <c r="P22" i="1"/>
  <c r="O22" i="1"/>
  <c r="N22" i="1"/>
  <c r="L22" i="1"/>
  <c r="N21" i="1"/>
  <c r="L21" i="1"/>
  <c r="P20" i="1"/>
  <c r="N20" i="1"/>
  <c r="L20" i="1"/>
  <c r="N19" i="1"/>
  <c r="L19" i="1"/>
  <c r="L18" i="1"/>
  <c r="P17" i="1"/>
  <c r="O17" i="1"/>
  <c r="N17" i="1"/>
  <c r="L17" i="1"/>
  <c r="L16" i="1"/>
  <c r="N8" i="1"/>
  <c r="H72" i="1" l="1"/>
  <c r="H69" i="1"/>
  <c r="H66" i="1"/>
  <c r="H32" i="1"/>
  <c r="H33" i="1" s="1"/>
  <c r="P7" i="1" s="1"/>
  <c r="P8" i="1" s="1"/>
  <c r="H21" i="1"/>
  <c r="H20" i="1"/>
  <c r="F45" i="1"/>
  <c r="F12" i="1"/>
  <c r="E42" i="1"/>
  <c r="D39" i="1"/>
  <c r="D38" i="1"/>
  <c r="F43" i="1"/>
  <c r="P18" i="1" l="1"/>
  <c r="O18" i="1"/>
  <c r="N18" i="1"/>
  <c r="F13" i="1"/>
  <c r="F15" i="1" s="1"/>
  <c r="I12" i="1"/>
  <c r="H22" i="1"/>
  <c r="H23" i="1" s="1"/>
  <c r="F41" i="1"/>
  <c r="F47" i="1"/>
  <c r="F46" i="1"/>
  <c r="F44" i="1"/>
  <c r="F42" i="1"/>
  <c r="F16" i="1"/>
  <c r="N35" i="1" l="1"/>
  <c r="F58" i="1"/>
  <c r="P12" i="1"/>
  <c r="N12" i="1"/>
  <c r="P36" i="1"/>
  <c r="P37" i="1" s="1"/>
  <c r="P38" i="1" s="1"/>
  <c r="F39" i="1"/>
  <c r="F26" i="1"/>
  <c r="F27" i="1"/>
  <c r="P11" i="1" l="1"/>
  <c r="O11" i="1"/>
  <c r="N11" i="1"/>
  <c r="P14" i="1"/>
  <c r="F38" i="1" s="1"/>
  <c r="H28" i="1"/>
  <c r="N27" i="1" l="1"/>
  <c r="N16" i="1"/>
  <c r="P27" i="1"/>
  <c r="P16" i="1"/>
  <c r="P24" i="1"/>
  <c r="O24" i="1"/>
  <c r="O16" i="1"/>
  <c r="O27" i="1"/>
  <c r="N24" i="1"/>
  <c r="P13" i="1"/>
  <c r="O13" i="1"/>
  <c r="N13" i="1"/>
  <c r="H29" i="1"/>
  <c r="F40" i="1" l="1"/>
  <c r="F48" i="1"/>
  <c r="O28" i="1"/>
  <c r="O30" i="1" s="1"/>
  <c r="P28" i="1"/>
  <c r="P30" i="1" s="1"/>
  <c r="F73" i="1"/>
  <c r="G73" i="1"/>
  <c r="F51" i="1" l="1"/>
  <c r="N26" i="1" l="1"/>
  <c r="F50" i="1" s="1"/>
  <c r="F52" i="1" s="1"/>
  <c r="F54" i="1" s="1"/>
  <c r="E6" i="1" l="1"/>
  <c r="F57" i="1"/>
  <c r="N28" i="1"/>
  <c r="N30" i="1" s="1"/>
  <c r="N31" i="1" l="1"/>
  <c r="E7" i="1"/>
  <c r="F60" i="1"/>
  <c r="E57" i="1" s="1"/>
  <c r="N34" i="1"/>
  <c r="M41" i="1" s="1"/>
  <c r="N40" i="1" l="1"/>
  <c r="O39" i="1" s="1"/>
  <c r="O40" i="1" s="1"/>
  <c r="P39" i="1" s="1"/>
  <c r="P40" i="1" s="1"/>
  <c r="P41" i="1" s="1"/>
  <c r="N45" i="1" s="1"/>
  <c r="N46" i="1" s="1"/>
  <c r="N47" i="1" s="1"/>
  <c r="O31" i="1"/>
  <c r="P31" i="1" s="1"/>
  <c r="N32" i="1"/>
  <c r="E58" i="1"/>
  <c r="E59" i="1"/>
  <c r="N44" i="1" l="1"/>
  <c r="E60" i="1"/>
</calcChain>
</file>

<file path=xl/sharedStrings.xml><?xml version="1.0" encoding="utf-8"?>
<sst xmlns="http://schemas.openxmlformats.org/spreadsheetml/2006/main" count="118" uniqueCount="96">
  <si>
    <t>Capital Structure</t>
  </si>
  <si>
    <t>Total Capital</t>
  </si>
  <si>
    <t>Fund Assumptions</t>
  </si>
  <si>
    <t>Fund Duration</t>
  </si>
  <si>
    <t>Project KPIs</t>
  </si>
  <si>
    <t>IRR</t>
  </si>
  <si>
    <t>Beginning Cash</t>
  </si>
  <si>
    <t>Debt Outstanding</t>
  </si>
  <si>
    <t>Debt Repayment</t>
  </si>
  <si>
    <t>Debt Withdrawl</t>
  </si>
  <si>
    <t>ROE</t>
  </si>
  <si>
    <t>Net Equity Cashflow</t>
  </si>
  <si>
    <t>Equity Net Profit</t>
  </si>
  <si>
    <t>Y1</t>
  </si>
  <si>
    <t>Y2</t>
  </si>
  <si>
    <t xml:space="preserve"> Cost</t>
  </si>
  <si>
    <t>Total Financing &amp; Fund Cost Assumptions</t>
  </si>
  <si>
    <t>Total (SAR)</t>
  </si>
  <si>
    <t>Total Fund Size</t>
  </si>
  <si>
    <t>افتراضات الأرض</t>
  </si>
  <si>
    <t xml:space="preserve">مساحة الأرض </t>
  </si>
  <si>
    <t xml:space="preserve">سعر الاستحواذ بالمتر </t>
  </si>
  <si>
    <t>السعي</t>
  </si>
  <si>
    <t>ضريبة التصرفات العقارية</t>
  </si>
  <si>
    <t>ضريبة السعي</t>
  </si>
  <si>
    <t xml:space="preserve">الإجمالي </t>
  </si>
  <si>
    <t>الإجمالي</t>
  </si>
  <si>
    <t xml:space="preserve">افتراضات التكاليف </t>
  </si>
  <si>
    <t xml:space="preserve">التكاليف المباشرة </t>
  </si>
  <si>
    <t xml:space="preserve">التكاليف غير المباشرة </t>
  </si>
  <si>
    <t xml:space="preserve">إجمالي التكاليف المباشرة </t>
  </si>
  <si>
    <t xml:space="preserve">إجمالي التكاليف غير المباشرة </t>
  </si>
  <si>
    <t xml:space="preserve">إجمالي التكاليف المباشرة وغير المباشرة </t>
  </si>
  <si>
    <t xml:space="preserve">رسوم إدارة الصندوق </t>
  </si>
  <si>
    <t>رسوم أمين الحفظ</t>
  </si>
  <si>
    <t xml:space="preserve">مجلس الإدارة </t>
  </si>
  <si>
    <t xml:space="preserve">  إصدار الشهادة الشرعية للصندوق  </t>
  </si>
  <si>
    <t xml:space="preserve">أتعاب الهيئة الشرعية </t>
  </si>
  <si>
    <t xml:space="preserve">مراجع الحسابات </t>
  </si>
  <si>
    <t xml:space="preserve">التقييم </t>
  </si>
  <si>
    <t>احتياطي مصروفات أخرى</t>
  </si>
  <si>
    <t>رسوم إنشاء الشركة ذات الغرض الخاص</t>
  </si>
  <si>
    <t xml:space="preserve">رسوم هيكلة </t>
  </si>
  <si>
    <t>أتعاب المشغل</t>
  </si>
  <si>
    <t>بالريال السعودي</t>
  </si>
  <si>
    <t>السنة</t>
  </si>
  <si>
    <t xml:space="preserve">التدفقات النقدية الداخلة </t>
  </si>
  <si>
    <t xml:space="preserve">التدفقات النقدية الخارجة </t>
  </si>
  <si>
    <t xml:space="preserve">صافي التدفقات النقدية </t>
  </si>
  <si>
    <t xml:space="preserve">أتعاب ترتيب تمويل </t>
  </si>
  <si>
    <t xml:space="preserve">فوائد تمويل </t>
  </si>
  <si>
    <t>Bank Financing</t>
  </si>
  <si>
    <t>تمويل رأس مال الصندوق</t>
  </si>
  <si>
    <t>In-Kind Contribution</t>
  </si>
  <si>
    <t xml:space="preserve">ROE Annulized </t>
  </si>
  <si>
    <t>النقدي</t>
  </si>
  <si>
    <t xml:space="preserve">العيني </t>
  </si>
  <si>
    <t>Financing &amp; Fund Cost Assumptions</t>
  </si>
  <si>
    <t xml:space="preserve">Fund Name </t>
  </si>
  <si>
    <t xml:space="preserve">Fund Type </t>
  </si>
  <si>
    <t>صندوق استثمار عقاري خاص</t>
  </si>
  <si>
    <t>Fund Period- year</t>
  </si>
  <si>
    <t>Fund Size- SAR</t>
  </si>
  <si>
    <t>Equity</t>
  </si>
  <si>
    <t xml:space="preserve">المبيعات </t>
  </si>
  <si>
    <t>Cumulative Cash Flow</t>
  </si>
  <si>
    <t>Net Cashflows</t>
  </si>
  <si>
    <t>المبيعات</t>
  </si>
  <si>
    <t>%</t>
  </si>
  <si>
    <t>افتراضات المبيعات</t>
  </si>
  <si>
    <t>الأرض</t>
  </si>
  <si>
    <t>التكاليف</t>
  </si>
  <si>
    <t>رسوم الصندوق والتمويل</t>
  </si>
  <si>
    <t>الاستحواذ على الأرض</t>
  </si>
  <si>
    <t>التكاليف المباشرة</t>
  </si>
  <si>
    <t xml:space="preserve">إجمالي الاستحواذ على الأرض </t>
  </si>
  <si>
    <t>In- Kind Contribution (Land Owner)</t>
  </si>
  <si>
    <t>مستشار قانوني</t>
  </si>
  <si>
    <t xml:space="preserve">المساحة </t>
  </si>
  <si>
    <t xml:space="preserve">التكلفة/ متر </t>
  </si>
  <si>
    <t xml:space="preserve">أتعاب المطور </t>
  </si>
  <si>
    <t xml:space="preserve">تكاليف غير مباشرة أخرى </t>
  </si>
  <si>
    <t xml:space="preserve">احتياطي </t>
  </si>
  <si>
    <t xml:space="preserve">قيمة المتر </t>
  </si>
  <si>
    <t xml:space="preserve">إجمالي المبيعات </t>
  </si>
  <si>
    <t>تطوير البنية التحتية</t>
  </si>
  <si>
    <t>تطوير البنية العلوية</t>
  </si>
  <si>
    <t>Y3</t>
  </si>
  <si>
    <t>Debt Withdrawl =</t>
  </si>
  <si>
    <t>xxx</t>
  </si>
  <si>
    <t>بيع شقق سكنية</t>
  </si>
  <si>
    <t>مواقف(قبو)</t>
  </si>
  <si>
    <t>-</t>
  </si>
  <si>
    <t>Total Equity</t>
  </si>
  <si>
    <t>https://maps.app.goo.gl/yFKfXytVnSZRiYGC9</t>
  </si>
  <si>
    <t>Hada Land 35,000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</si>
</sst>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_);_(* \(#,##0.00\);_(* &quot;-&quot;?_);_(@_)"/>
    <numFmt numFmtId="167" formatCode="_(* #,##0_);_(* \(#,##0\);_(* &quot;-&quot;?_);_(@_)"/>
    <numFmt numFmtId="168" formatCode="_(* #,##0.0_);_(* \(#,##0.0\);_(* &quot;-&quot;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Sakkal Majalla"/>
    </font>
    <font>
      <b/>
      <sz val="12"/>
      <color theme="1"/>
      <name val="Sakkal Majalla"/>
    </font>
    <font>
      <i/>
      <sz val="12"/>
      <color theme="1"/>
      <name val="Sakkal Majalla"/>
    </font>
    <font>
      <b/>
      <sz val="12"/>
      <color theme="0"/>
      <name val="Sakkal Majalla"/>
    </font>
    <font>
      <b/>
      <i/>
      <sz val="12"/>
      <color theme="1"/>
      <name val="Sakkal Majalla"/>
    </font>
    <font>
      <sz val="14"/>
      <color theme="1"/>
      <name val="Sakkal Majalla"/>
    </font>
    <font>
      <b/>
      <sz val="14"/>
      <color theme="1"/>
      <name val="Sakkal Majalla"/>
    </font>
    <font>
      <b/>
      <i/>
      <sz val="12"/>
      <color theme="0"/>
      <name val="Sakkal Majalla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69183"/>
        <bgColor indexed="64"/>
      </patternFill>
    </fill>
    <fill>
      <patternFill patternType="solid">
        <fgColor rgb="FF898989"/>
        <bgColor indexed="64"/>
      </patternFill>
    </fill>
    <fill>
      <patternFill patternType="solid">
        <fgColor rgb="FFFAFBF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5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43" fontId="3" fillId="0" borderId="0" xfId="1" applyFont="1" applyAlignment="1">
      <alignment horizontal="center" vertical="center"/>
    </xf>
    <xf numFmtId="10" fontId="3" fillId="0" borderId="0" xfId="2" applyNumberFormat="1" applyFont="1" applyAlignment="1">
      <alignment horizontal="center" vertical="center" wrapText="1"/>
    </xf>
    <xf numFmtId="10" fontId="3" fillId="0" borderId="0" xfId="2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10" fontId="4" fillId="0" borderId="0" xfId="2" applyNumberFormat="1" applyFont="1" applyBorder="1" applyAlignment="1">
      <alignment horizontal="center" vertical="center"/>
    </xf>
    <xf numFmtId="168" fontId="9" fillId="2" borderId="10" xfId="0" applyNumberFormat="1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9" fontId="4" fillId="0" borderId="0" xfId="2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9" fontId="3" fillId="0" borderId="0" xfId="2" applyFont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4" fontId="6" fillId="3" borderId="14" xfId="2" applyNumberFormat="1" applyFont="1" applyFill="1" applyBorder="1" applyAlignment="1">
      <alignment horizontal="center" vertical="center"/>
    </xf>
    <xf numFmtId="43" fontId="6" fillId="3" borderId="14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9" fontId="6" fillId="3" borderId="3" xfId="2" applyFont="1" applyFill="1" applyBorder="1" applyAlignment="1">
      <alignment horizontal="center" vertical="center"/>
    </xf>
    <xf numFmtId="164" fontId="6" fillId="3" borderId="3" xfId="2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43" fontId="5" fillId="5" borderId="0" xfId="1" applyFont="1" applyFill="1" applyBorder="1" applyAlignment="1">
      <alignment horizontal="center" vertical="center"/>
    </xf>
    <xf numFmtId="165" fontId="3" fillId="5" borderId="0" xfId="2" applyNumberFormat="1" applyFont="1" applyFill="1" applyBorder="1" applyAlignment="1">
      <alignment horizontal="center" vertical="center"/>
    </xf>
    <xf numFmtId="9" fontId="3" fillId="5" borderId="0" xfId="2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164" fontId="5" fillId="5" borderId="13" xfId="1" applyNumberFormat="1" applyFont="1" applyFill="1" applyBorder="1" applyAlignment="1">
      <alignment horizontal="center" vertical="center"/>
    </xf>
    <xf numFmtId="164" fontId="5" fillId="5" borderId="10" xfId="1" applyNumberFormat="1" applyFont="1" applyFill="1" applyBorder="1" applyAlignment="1">
      <alignment horizontal="center" vertical="center"/>
    </xf>
    <xf numFmtId="9" fontId="5" fillId="5" borderId="15" xfId="2" applyFont="1" applyFill="1" applyBorder="1" applyAlignment="1">
      <alignment horizontal="center" vertical="center"/>
    </xf>
    <xf numFmtId="164" fontId="5" fillId="5" borderId="30" xfId="1" applyNumberFormat="1" applyFont="1" applyFill="1" applyBorder="1" applyAlignment="1">
      <alignment horizontal="center" vertical="center"/>
    </xf>
    <xf numFmtId="165" fontId="5" fillId="5" borderId="15" xfId="2" applyNumberFormat="1" applyFont="1" applyFill="1" applyBorder="1" applyAlignment="1">
      <alignment horizontal="center" vertical="center"/>
    </xf>
    <xf numFmtId="164" fontId="5" fillId="5" borderId="0" xfId="1" applyNumberFormat="1" applyFont="1" applyFill="1" applyBorder="1" applyAlignment="1">
      <alignment horizontal="center" vertical="center"/>
    </xf>
    <xf numFmtId="164" fontId="5" fillId="5" borderId="16" xfId="1" applyNumberFormat="1" applyFont="1" applyFill="1" applyBorder="1" applyAlignment="1">
      <alignment horizontal="center" vertical="center"/>
    </xf>
    <xf numFmtId="9" fontId="5" fillId="5" borderId="0" xfId="2" applyFont="1" applyFill="1" applyBorder="1" applyAlignment="1">
      <alignment horizontal="center" vertical="center"/>
    </xf>
    <xf numFmtId="164" fontId="4" fillId="5" borderId="14" xfId="0" applyNumberFormat="1" applyFont="1" applyFill="1" applyBorder="1" applyAlignment="1">
      <alignment horizontal="center" vertical="center"/>
    </xf>
    <xf numFmtId="9" fontId="3" fillId="5" borderId="0" xfId="0" applyNumberFormat="1" applyFont="1" applyFill="1" applyAlignment="1">
      <alignment horizontal="center" vertical="center"/>
    </xf>
    <xf numFmtId="164" fontId="3" fillId="5" borderId="16" xfId="2" applyNumberFormat="1" applyFont="1" applyFill="1" applyBorder="1" applyAlignment="1">
      <alignment horizontal="center" vertical="center"/>
    </xf>
    <xf numFmtId="10" fontId="5" fillId="5" borderId="17" xfId="2" applyNumberFormat="1" applyFont="1" applyFill="1" applyBorder="1" applyAlignment="1">
      <alignment horizontal="center" vertical="center"/>
    </xf>
    <xf numFmtId="10" fontId="5" fillId="5" borderId="1" xfId="2" applyNumberFormat="1" applyFont="1" applyFill="1" applyBorder="1" applyAlignment="1">
      <alignment horizontal="center" vertical="center"/>
    </xf>
    <xf numFmtId="10" fontId="5" fillId="5" borderId="18" xfId="2" applyNumberFormat="1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10" fontId="5" fillId="5" borderId="13" xfId="2" applyNumberFormat="1" applyFont="1" applyFill="1" applyBorder="1" applyAlignment="1">
      <alignment horizontal="center" vertical="center"/>
    </xf>
    <xf numFmtId="10" fontId="5" fillId="5" borderId="3" xfId="2" applyNumberFormat="1" applyFont="1" applyFill="1" applyBorder="1" applyAlignment="1">
      <alignment horizontal="center" vertical="center"/>
    </xf>
    <xf numFmtId="10" fontId="5" fillId="5" borderId="14" xfId="2" applyNumberFormat="1" applyFont="1" applyFill="1" applyBorder="1" applyAlignment="1">
      <alignment horizontal="center" vertical="center"/>
    </xf>
    <xf numFmtId="10" fontId="7" fillId="5" borderId="21" xfId="2" applyNumberFormat="1" applyFont="1" applyFill="1" applyBorder="1" applyAlignment="1">
      <alignment horizontal="center" vertical="center"/>
    </xf>
    <xf numFmtId="10" fontId="3" fillId="5" borderId="0" xfId="0" applyNumberFormat="1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10" fontId="4" fillId="5" borderId="5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4" fontId="4" fillId="5" borderId="7" xfId="1" applyNumberFormat="1" applyFont="1" applyFill="1" applyBorder="1" applyAlignment="1">
      <alignment horizontal="center" vertical="center"/>
    </xf>
    <xf numFmtId="165" fontId="4" fillId="5" borderId="7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10" fontId="4" fillId="5" borderId="9" xfId="2" applyNumberFormat="1" applyFont="1" applyFill="1" applyBorder="1" applyAlignment="1">
      <alignment horizontal="center" vertical="center"/>
    </xf>
    <xf numFmtId="167" fontId="8" fillId="5" borderId="22" xfId="0" applyNumberFormat="1" applyFont="1" applyFill="1" applyBorder="1" applyAlignment="1">
      <alignment horizontal="center" vertical="center"/>
    </xf>
    <xf numFmtId="167" fontId="8" fillId="5" borderId="25" xfId="0" applyNumberFormat="1" applyFont="1" applyFill="1" applyBorder="1" applyAlignment="1">
      <alignment horizontal="center" vertical="center"/>
    </xf>
    <xf numFmtId="167" fontId="8" fillId="5" borderId="27" xfId="0" applyNumberFormat="1" applyFont="1" applyFill="1" applyBorder="1" applyAlignment="1">
      <alignment horizontal="center" vertical="center"/>
    </xf>
    <xf numFmtId="9" fontId="3" fillId="5" borderId="10" xfId="2" applyFont="1" applyFill="1" applyBorder="1" applyAlignment="1">
      <alignment horizontal="center" vertical="center"/>
    </xf>
    <xf numFmtId="166" fontId="3" fillId="5" borderId="10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164" fontId="3" fillId="5" borderId="20" xfId="0" applyNumberFormat="1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5" borderId="18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4" fontId="4" fillId="5" borderId="20" xfId="0" applyNumberFormat="1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164" fontId="3" fillId="5" borderId="16" xfId="0" applyNumberFormat="1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3" fillId="5" borderId="18" xfId="0" applyNumberFormat="1" applyFont="1" applyFill="1" applyBorder="1" applyAlignment="1">
      <alignment horizontal="center" vertical="center"/>
    </xf>
    <xf numFmtId="38" fontId="4" fillId="5" borderId="3" xfId="1" applyNumberFormat="1" applyFont="1" applyFill="1" applyBorder="1" applyAlignment="1">
      <alignment horizontal="center" vertical="center"/>
    </xf>
    <xf numFmtId="38" fontId="4" fillId="5" borderId="14" xfId="1" applyNumberFormat="1" applyFont="1" applyFill="1" applyBorder="1" applyAlignment="1">
      <alignment horizontal="center" vertical="center"/>
    </xf>
    <xf numFmtId="38" fontId="3" fillId="5" borderId="0" xfId="1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8" fontId="4" fillId="5" borderId="1" xfId="0" applyNumberFormat="1" applyFont="1" applyFill="1" applyBorder="1" applyAlignment="1">
      <alignment horizontal="center" vertical="center"/>
    </xf>
    <xf numFmtId="38" fontId="4" fillId="5" borderId="18" xfId="0" applyNumberFormat="1" applyFont="1" applyFill="1" applyBorder="1" applyAlignment="1">
      <alignment horizontal="center" vertical="center"/>
    </xf>
    <xf numFmtId="38" fontId="3" fillId="5" borderId="0" xfId="0" applyNumberFormat="1" applyFont="1" applyFill="1" applyAlignment="1">
      <alignment horizontal="center" vertical="center"/>
    </xf>
    <xf numFmtId="38" fontId="3" fillId="5" borderId="2" xfId="1" applyNumberFormat="1" applyFont="1" applyFill="1" applyBorder="1" applyAlignment="1">
      <alignment horizontal="center" vertical="center"/>
    </xf>
    <xf numFmtId="38" fontId="3" fillId="5" borderId="20" xfId="1" applyNumberFormat="1" applyFont="1" applyFill="1" applyBorder="1" applyAlignment="1">
      <alignment horizontal="center" vertical="center"/>
    </xf>
    <xf numFmtId="38" fontId="3" fillId="5" borderId="1" xfId="1" applyNumberFormat="1" applyFont="1" applyFill="1" applyBorder="1" applyAlignment="1">
      <alignment horizontal="center" vertical="center"/>
    </xf>
    <xf numFmtId="38" fontId="3" fillId="5" borderId="1" xfId="0" applyNumberFormat="1" applyFont="1" applyFill="1" applyBorder="1" applyAlignment="1">
      <alignment horizontal="center" vertical="center"/>
    </xf>
    <xf numFmtId="168" fontId="4" fillId="2" borderId="10" xfId="0" applyNumberFormat="1" applyFont="1" applyFill="1" applyBorder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43" fontId="10" fillId="4" borderId="13" xfId="1" applyFont="1" applyFill="1" applyBorder="1" applyAlignment="1">
      <alignment horizontal="center" vertical="center"/>
    </xf>
    <xf numFmtId="43" fontId="10" fillId="4" borderId="10" xfId="1" applyFont="1" applyFill="1" applyBorder="1" applyAlignment="1">
      <alignment horizontal="center" vertical="center"/>
    </xf>
    <xf numFmtId="43" fontId="10" fillId="4" borderId="3" xfId="1" applyFont="1" applyFill="1" applyBorder="1" applyAlignment="1">
      <alignment horizontal="center" vertical="center"/>
    </xf>
    <xf numFmtId="43" fontId="10" fillId="4" borderId="14" xfId="1" applyFont="1" applyFill="1" applyBorder="1" applyAlignment="1">
      <alignment horizontal="center" vertical="center"/>
    </xf>
    <xf numFmtId="43" fontId="6" fillId="4" borderId="14" xfId="0" applyNumberFormat="1" applyFont="1" applyFill="1" applyBorder="1" applyAlignment="1">
      <alignment horizontal="center" vertical="center"/>
    </xf>
    <xf numFmtId="164" fontId="3" fillId="6" borderId="0" xfId="2" applyNumberFormat="1" applyFont="1" applyFill="1" applyAlignment="1">
      <alignment horizontal="center" vertical="center"/>
    </xf>
    <xf numFmtId="43" fontId="3" fillId="0" borderId="0" xfId="2" applyNumberFormat="1" applyFont="1" applyAlignment="1">
      <alignment horizontal="center" vertical="center"/>
    </xf>
    <xf numFmtId="38" fontId="3" fillId="5" borderId="0" xfId="1" applyNumberFormat="1" applyFont="1" applyFill="1" applyAlignment="1">
      <alignment horizontal="center" vertical="center"/>
    </xf>
    <xf numFmtId="164" fontId="3" fillId="0" borderId="0" xfId="2" applyNumberFormat="1" applyFont="1" applyAlignment="1">
      <alignment horizontal="center" vertical="center"/>
    </xf>
    <xf numFmtId="10" fontId="3" fillId="5" borderId="0" xfId="2" applyNumberFormat="1" applyFont="1" applyFill="1" applyBorder="1" applyAlignment="1">
      <alignment vertical="center"/>
    </xf>
    <xf numFmtId="164" fontId="5" fillId="5" borderId="0" xfId="1" applyNumberFormat="1" applyFont="1" applyFill="1" applyBorder="1" applyAlignment="1">
      <alignment vertical="center"/>
    </xf>
    <xf numFmtId="9" fontId="5" fillId="5" borderId="0" xfId="2" applyFont="1" applyFill="1" applyBorder="1" applyAlignment="1">
      <alignment vertical="center"/>
    </xf>
    <xf numFmtId="164" fontId="5" fillId="5" borderId="19" xfId="1" applyNumberFormat="1" applyFont="1" applyFill="1" applyBorder="1" applyAlignment="1">
      <alignment horizontal="center" vertical="center"/>
    </xf>
    <xf numFmtId="164" fontId="5" fillId="5" borderId="2" xfId="1" applyNumberFormat="1" applyFont="1" applyFill="1" applyBorder="1" applyAlignment="1">
      <alignment horizontal="center" vertical="center"/>
    </xf>
    <xf numFmtId="164" fontId="5" fillId="5" borderId="20" xfId="1" applyNumberFormat="1" applyFont="1" applyFill="1" applyBorder="1" applyAlignment="1">
      <alignment horizontal="center" vertical="center"/>
    </xf>
    <xf numFmtId="164" fontId="5" fillId="5" borderId="15" xfId="1" applyNumberFormat="1" applyFont="1" applyFill="1" applyBorder="1" applyAlignment="1">
      <alignment horizontal="center" vertical="center"/>
    </xf>
    <xf numFmtId="164" fontId="5" fillId="5" borderId="0" xfId="1" applyNumberFormat="1" applyFont="1" applyFill="1" applyBorder="1" applyAlignment="1">
      <alignment horizontal="center" vertical="center"/>
    </xf>
    <xf numFmtId="164" fontId="5" fillId="5" borderId="16" xfId="1" applyNumberFormat="1" applyFont="1" applyFill="1" applyBorder="1" applyAlignment="1">
      <alignment horizontal="center" vertical="center"/>
    </xf>
    <xf numFmtId="164" fontId="5" fillId="5" borderId="17" xfId="1" applyNumberFormat="1" applyFont="1" applyFill="1" applyBorder="1" applyAlignment="1">
      <alignment horizontal="center" vertical="center"/>
    </xf>
    <xf numFmtId="164" fontId="5" fillId="5" borderId="1" xfId="1" applyNumberFormat="1" applyFont="1" applyFill="1" applyBorder="1" applyAlignment="1">
      <alignment horizontal="center" vertical="center"/>
    </xf>
    <xf numFmtId="164" fontId="5" fillId="5" borderId="18" xfId="1" applyNumberFormat="1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167" fontId="8" fillId="5" borderId="23" xfId="0" applyNumberFormat="1" applyFont="1" applyFill="1" applyBorder="1" applyAlignment="1">
      <alignment horizontal="center" vertical="center"/>
    </xf>
    <xf numFmtId="167" fontId="8" fillId="5" borderId="24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 wrapText="1"/>
    </xf>
    <xf numFmtId="167" fontId="8" fillId="5" borderId="26" xfId="0" applyNumberFormat="1" applyFont="1" applyFill="1" applyBorder="1" applyAlignment="1">
      <alignment horizontal="center" vertical="center" wrapText="1"/>
    </xf>
    <xf numFmtId="167" fontId="8" fillId="5" borderId="10" xfId="0" applyNumberFormat="1" applyFont="1" applyFill="1" applyBorder="1" applyAlignment="1">
      <alignment horizontal="center" vertical="center"/>
    </xf>
    <xf numFmtId="167" fontId="8" fillId="5" borderId="26" xfId="0" applyNumberFormat="1" applyFont="1" applyFill="1" applyBorder="1" applyAlignment="1">
      <alignment horizontal="center" vertical="center"/>
    </xf>
    <xf numFmtId="167" fontId="8" fillId="5" borderId="28" xfId="0" applyNumberFormat="1" applyFont="1" applyFill="1" applyBorder="1" applyAlignment="1">
      <alignment horizontal="center" vertical="center"/>
    </xf>
    <xf numFmtId="167" fontId="8" fillId="5" borderId="29" xfId="0" applyNumberFormat="1" applyFont="1" applyFill="1" applyBorder="1" applyAlignment="1">
      <alignment horizontal="center" vertical="center"/>
    </xf>
    <xf numFmtId="0" fontId="11" fillId="0" borderId="0" xfId="3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AFBF4"/>
      <color rgb="FF969183"/>
      <color rgb="FF89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yFKfXytVnSZRiYGC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73"/>
  <sheetViews>
    <sheetView showGridLines="0" tabSelected="1" topLeftCell="C1" zoomScale="80" zoomScaleNormal="80" workbookViewId="0">
      <selection activeCell="J15" sqref="J15"/>
    </sheetView>
  </sheetViews>
  <sheetFormatPr defaultColWidth="9.109375" defaultRowHeight="18" x14ac:dyDescent="0.3"/>
  <cols>
    <col min="1" max="1" width="9.109375" style="1"/>
    <col min="2" max="2" width="22.77734375" style="1" bestFit="1" customWidth="1"/>
    <col min="3" max="3" width="9.109375" style="1"/>
    <col min="4" max="4" width="38.6640625" style="1" bestFit="1" customWidth="1"/>
    <col min="5" max="5" width="15.109375" style="1" customWidth="1"/>
    <col min="6" max="6" width="15" style="1" customWidth="1"/>
    <col min="7" max="7" width="15.44140625" style="1" bestFit="1" customWidth="1"/>
    <col min="8" max="8" width="17.44140625" style="1" customWidth="1"/>
    <col min="9" max="9" width="20.44140625" style="1" bestFit="1" customWidth="1"/>
    <col min="10" max="10" width="18" style="1" bestFit="1" customWidth="1"/>
    <col min="11" max="11" width="12.6640625" style="1" bestFit="1" customWidth="1"/>
    <col min="12" max="12" width="25.5546875" style="1" bestFit="1" customWidth="1"/>
    <col min="13" max="13" width="10.77734375" style="1" bestFit="1" customWidth="1"/>
    <col min="14" max="14" width="19.88671875" style="1" customWidth="1"/>
    <col min="15" max="15" width="11" style="1" bestFit="1" customWidth="1"/>
    <col min="16" max="16" width="13.109375" style="1" bestFit="1" customWidth="1"/>
    <col min="17" max="18" width="11" style="1" bestFit="1" customWidth="1"/>
    <col min="19" max="16384" width="9.109375" style="1"/>
  </cols>
  <sheetData>
    <row r="1" spans="2:16" ht="18.600000000000001" thickBot="1" x14ac:dyDescent="0.35">
      <c r="K1" s="115"/>
    </row>
    <row r="2" spans="2:16" ht="22.2" thickBot="1" x14ac:dyDescent="0.35">
      <c r="D2" s="149" t="s">
        <v>94</v>
      </c>
      <c r="E2" s="141" t="s">
        <v>95</v>
      </c>
      <c r="F2" s="142"/>
      <c r="K2" s="115"/>
    </row>
    <row r="3" spans="2:16" ht="21.6" x14ac:dyDescent="0.3">
      <c r="D3" s="74" t="s">
        <v>58</v>
      </c>
      <c r="E3" s="141" t="s">
        <v>89</v>
      </c>
      <c r="F3" s="142"/>
      <c r="H3" s="2"/>
      <c r="K3" s="115"/>
      <c r="L3" s="109" t="s">
        <v>44</v>
      </c>
      <c r="N3" s="11"/>
      <c r="O3" s="11"/>
      <c r="P3" s="11"/>
    </row>
    <row r="4" spans="2:16" ht="21.6" x14ac:dyDescent="0.3">
      <c r="D4" s="75" t="s">
        <v>59</v>
      </c>
      <c r="E4" s="143" t="s">
        <v>60</v>
      </c>
      <c r="F4" s="144"/>
      <c r="H4" s="2"/>
      <c r="K4" s="115"/>
      <c r="L4" s="110" t="s">
        <v>45</v>
      </c>
      <c r="M4" s="111"/>
      <c r="N4" s="111">
        <v>2025</v>
      </c>
      <c r="O4" s="111">
        <v>2026</v>
      </c>
      <c r="P4" s="112">
        <v>2027</v>
      </c>
    </row>
    <row r="5" spans="2:16" ht="21.6" x14ac:dyDescent="0.3">
      <c r="D5" s="75" t="s">
        <v>61</v>
      </c>
      <c r="E5" s="145">
        <v>3</v>
      </c>
      <c r="F5" s="146"/>
      <c r="K5" s="115"/>
      <c r="L5" s="109"/>
      <c r="M5" s="113"/>
      <c r="N5" s="113" t="s">
        <v>13</v>
      </c>
      <c r="O5" s="113" t="s">
        <v>14</v>
      </c>
      <c r="P5" s="114" t="s">
        <v>87</v>
      </c>
    </row>
    <row r="6" spans="2:16" ht="22.2" thickBot="1" x14ac:dyDescent="0.35">
      <c r="D6" s="76" t="s">
        <v>62</v>
      </c>
      <c r="E6" s="147">
        <f>F54</f>
        <v>541637996.27860641</v>
      </c>
      <c r="F6" s="148"/>
      <c r="K6" s="115"/>
      <c r="L6" s="58" t="s">
        <v>46</v>
      </c>
      <c r="M6" s="79"/>
      <c r="N6" s="80"/>
      <c r="O6" s="80"/>
      <c r="P6" s="81"/>
    </row>
    <row r="7" spans="2:16" ht="22.2" thickBot="1" x14ac:dyDescent="0.35">
      <c r="D7" s="76" t="s">
        <v>93</v>
      </c>
      <c r="E7" s="147">
        <f>F57</f>
        <v>378304662.9452731</v>
      </c>
      <c r="F7" s="148"/>
      <c r="K7" s="115"/>
      <c r="L7" s="82" t="s">
        <v>64</v>
      </c>
      <c r="M7" s="80"/>
      <c r="N7" s="83">
        <v>0</v>
      </c>
      <c r="O7" s="83">
        <v>0</v>
      </c>
      <c r="P7" s="84">
        <f>Assumptions!H33</f>
        <v>656250000</v>
      </c>
    </row>
    <row r="8" spans="2:16" x14ac:dyDescent="0.3">
      <c r="K8" s="115"/>
      <c r="L8" s="85" t="s">
        <v>25</v>
      </c>
      <c r="M8" s="86"/>
      <c r="N8" s="86">
        <f>SUM(N7)</f>
        <v>0</v>
      </c>
      <c r="O8" s="86">
        <v>0</v>
      </c>
      <c r="P8" s="87">
        <f>SUM(P7)</f>
        <v>656250000</v>
      </c>
    </row>
    <row r="9" spans="2:16" ht="25.5" customHeight="1" x14ac:dyDescent="0.3">
      <c r="B9" s="19" t="s">
        <v>70</v>
      </c>
      <c r="D9" s="32" t="s">
        <v>19</v>
      </c>
      <c r="K9" s="115"/>
      <c r="L9" s="90" t="s">
        <v>47</v>
      </c>
      <c r="M9" s="82"/>
      <c r="N9" s="88">
        <v>0</v>
      </c>
      <c r="O9" s="88"/>
      <c r="P9" s="89">
        <v>0</v>
      </c>
    </row>
    <row r="10" spans="2:16" x14ac:dyDescent="0.3">
      <c r="D10" s="34"/>
      <c r="E10" s="35"/>
      <c r="F10" s="36" t="s">
        <v>25</v>
      </c>
      <c r="H10" s="31" t="s">
        <v>55</v>
      </c>
      <c r="I10" s="31" t="s">
        <v>56</v>
      </c>
      <c r="K10" s="115"/>
      <c r="L10" s="90"/>
      <c r="M10" s="90"/>
      <c r="N10" s="91">
        <v>0</v>
      </c>
      <c r="O10" s="91"/>
      <c r="P10" s="92">
        <v>0</v>
      </c>
    </row>
    <row r="11" spans="2:16" x14ac:dyDescent="0.3">
      <c r="D11" s="37" t="s">
        <v>20</v>
      </c>
      <c r="E11" s="33"/>
      <c r="F11" s="50">
        <v>35000</v>
      </c>
      <c r="H11" s="77">
        <v>1</v>
      </c>
      <c r="I11" s="77">
        <v>0</v>
      </c>
      <c r="K11" s="115"/>
      <c r="L11" s="37" t="s">
        <v>75</v>
      </c>
      <c r="M11" s="37"/>
      <c r="N11" s="91">
        <f>Assumptions!E66*Assumptions!$F$16</f>
        <v>264293750</v>
      </c>
      <c r="O11" s="91">
        <f>Assumptions!F66*Assumptions!$F$16</f>
        <v>0</v>
      </c>
      <c r="P11" s="92">
        <f>Assumptions!G66*Assumptions!$F$16</f>
        <v>0</v>
      </c>
    </row>
    <row r="12" spans="2:16" x14ac:dyDescent="0.3">
      <c r="D12" s="37" t="s">
        <v>21</v>
      </c>
      <c r="E12" s="38">
        <v>7000</v>
      </c>
      <c r="F12" s="50">
        <f>$E$12*F11</f>
        <v>245000000</v>
      </c>
      <c r="H12" s="78">
        <f>H11*$F$16</f>
        <v>264293750</v>
      </c>
      <c r="I12" s="78">
        <f>I11*F12</f>
        <v>0</v>
      </c>
      <c r="K12" s="115"/>
      <c r="L12" s="37" t="s">
        <v>28</v>
      </c>
      <c r="M12" s="37"/>
      <c r="N12" s="91">
        <f>Assumptions!E69*Assumptions!$H$23</f>
        <v>61875000</v>
      </c>
      <c r="O12" s="91">
        <f>Assumptions!F69*Assumptions!$H$23</f>
        <v>84375000</v>
      </c>
      <c r="P12" s="92">
        <f>Assumptions!G69*Assumptions!$H$23</f>
        <v>41249999.999999993</v>
      </c>
    </row>
    <row r="13" spans="2:16" ht="24" customHeight="1" x14ac:dyDescent="0.3">
      <c r="D13" s="37" t="s">
        <v>22</v>
      </c>
      <c r="E13" s="39">
        <v>2.5000000000000001E-2</v>
      </c>
      <c r="F13" s="50">
        <f>$E$13*F12</f>
        <v>6125000</v>
      </c>
      <c r="K13" s="115"/>
      <c r="L13" s="37" t="s">
        <v>29</v>
      </c>
      <c r="M13" s="37"/>
      <c r="N13" s="91">
        <f>Assumptions!$H$28*Assumptions!E72</f>
        <v>12993750</v>
      </c>
      <c r="O13" s="91">
        <f>Assumptions!$H$28*Assumptions!F72</f>
        <v>17718750</v>
      </c>
      <c r="P13" s="92">
        <f>Assumptions!$H$28*Assumptions!G72</f>
        <v>8662499.9999999981</v>
      </c>
    </row>
    <row r="14" spans="2:16" x14ac:dyDescent="0.3">
      <c r="D14" s="37" t="s">
        <v>23</v>
      </c>
      <c r="E14" s="40">
        <v>0.05</v>
      </c>
      <c r="F14" s="50">
        <f>E14*F12</f>
        <v>12250000</v>
      </c>
      <c r="K14" s="115"/>
      <c r="L14" s="37" t="s">
        <v>50</v>
      </c>
      <c r="M14" s="37"/>
      <c r="N14" s="91">
        <f>Assumptions!$E$38*N37</f>
        <v>8000000</v>
      </c>
      <c r="O14" s="91">
        <f>Assumptions!$E$38*O37</f>
        <v>13066666.640000001</v>
      </c>
      <c r="P14" s="92">
        <f>Assumptions!$E$38*P37</f>
        <v>13066666.666666666</v>
      </c>
    </row>
    <row r="15" spans="2:16" x14ac:dyDescent="0.3">
      <c r="D15" s="37" t="s">
        <v>24</v>
      </c>
      <c r="E15" s="40">
        <v>0.15</v>
      </c>
      <c r="F15" s="50">
        <f>E15*F13</f>
        <v>918750</v>
      </c>
      <c r="K15" s="115"/>
      <c r="L15" s="37" t="s">
        <v>49</v>
      </c>
      <c r="M15" s="37"/>
      <c r="N15" s="91">
        <f>Assumptions!E39*Assumptions!F59</f>
        <v>3266666.6666666665</v>
      </c>
      <c r="O15" s="91">
        <v>0</v>
      </c>
      <c r="P15" s="92">
        <v>0</v>
      </c>
    </row>
    <row r="16" spans="2:16" x14ac:dyDescent="0.3">
      <c r="D16" s="24" t="s">
        <v>26</v>
      </c>
      <c r="E16" s="25"/>
      <c r="F16" s="26">
        <f>SUM(F12:F15)</f>
        <v>264293750</v>
      </c>
      <c r="K16" s="115"/>
      <c r="L16" s="37" t="str">
        <f>Assumptions!D40</f>
        <v xml:space="preserve">رسوم إدارة الصندوق </v>
      </c>
      <c r="M16" s="37"/>
      <c r="N16" s="91">
        <f>Assumptions!$E$40*(SUM(Assumptions!N11:N13))</f>
        <v>5087437.5</v>
      </c>
      <c r="O16" s="91">
        <f>Assumptions!$E$40*(SUM(Assumptions!O11:O13))</f>
        <v>1531406.25</v>
      </c>
      <c r="P16" s="92">
        <f>Assumptions!$E$40*(SUM(Assumptions!P11:P13))</f>
        <v>748687.49999999988</v>
      </c>
    </row>
    <row r="17" spans="2:16" x14ac:dyDescent="0.3">
      <c r="K17" s="115"/>
      <c r="L17" s="37" t="str">
        <f>Assumptions!D41</f>
        <v>رسوم أمين الحفظ</v>
      </c>
      <c r="M17" s="37"/>
      <c r="N17" s="91">
        <f>Assumptions!$E$41</f>
        <v>50000</v>
      </c>
      <c r="O17" s="91">
        <f>Assumptions!$E$41</f>
        <v>50000</v>
      </c>
      <c r="P17" s="92">
        <f>Assumptions!$E$41</f>
        <v>50000</v>
      </c>
    </row>
    <row r="18" spans="2:16" ht="27" customHeight="1" x14ac:dyDescent="0.3">
      <c r="B18" s="19" t="s">
        <v>71</v>
      </c>
      <c r="D18" s="41" t="s">
        <v>27</v>
      </c>
      <c r="E18" s="42"/>
      <c r="F18" s="42"/>
      <c r="G18" s="42"/>
      <c r="H18" s="43"/>
      <c r="K18" s="115"/>
      <c r="L18" s="37" t="str">
        <f>Assumptions!D42</f>
        <v xml:space="preserve">مجلس الإدارة </v>
      </c>
      <c r="M18" s="37"/>
      <c r="N18" s="91">
        <f>Assumptions!$E$42</f>
        <v>100000</v>
      </c>
      <c r="O18" s="91">
        <f>Assumptions!$E$42</f>
        <v>100000</v>
      </c>
      <c r="P18" s="92">
        <f>Assumptions!$E$42</f>
        <v>100000</v>
      </c>
    </row>
    <row r="19" spans="2:16" x14ac:dyDescent="0.3">
      <c r="D19" s="34" t="s">
        <v>28</v>
      </c>
      <c r="E19" s="44" t="s">
        <v>68</v>
      </c>
      <c r="F19" s="45" t="s">
        <v>78</v>
      </c>
      <c r="G19" s="45" t="s">
        <v>79</v>
      </c>
      <c r="H19" s="32" t="s">
        <v>25</v>
      </c>
      <c r="K19" s="115"/>
      <c r="L19" s="37" t="str">
        <f>Assumptions!D43</f>
        <v xml:space="preserve">  إصدار الشهادة الشرعية للصندوق  </v>
      </c>
      <c r="M19" s="37"/>
      <c r="N19" s="91">
        <f>Assumptions!E43</f>
        <v>5000</v>
      </c>
      <c r="O19" s="91">
        <v>0</v>
      </c>
      <c r="P19" s="92">
        <v>0</v>
      </c>
    </row>
    <row r="20" spans="2:16" x14ac:dyDescent="0.3">
      <c r="D20" s="37" t="s">
        <v>85</v>
      </c>
      <c r="E20" s="46">
        <v>1</v>
      </c>
      <c r="F20" s="47">
        <v>52500</v>
      </c>
      <c r="G20" s="47">
        <v>500</v>
      </c>
      <c r="H20" s="47">
        <f>G20*F20</f>
        <v>26250000</v>
      </c>
      <c r="K20" s="115"/>
      <c r="L20" s="37" t="str">
        <f>Assumptions!D44</f>
        <v xml:space="preserve">أتعاب الهيئة الشرعية </v>
      </c>
      <c r="M20" s="37"/>
      <c r="N20" s="91">
        <f>Assumptions!$E$44</f>
        <v>5000</v>
      </c>
      <c r="O20" s="91">
        <f>Assumptions!$E$44</f>
        <v>5000</v>
      </c>
      <c r="P20" s="92">
        <f>Assumptions!$E$44</f>
        <v>5000</v>
      </c>
    </row>
    <row r="21" spans="2:16" x14ac:dyDescent="0.3">
      <c r="D21" s="37" t="s">
        <v>86</v>
      </c>
      <c r="E21" s="46"/>
      <c r="F21" s="47">
        <f>F20</f>
        <v>52500</v>
      </c>
      <c r="G21" s="47">
        <v>2500</v>
      </c>
      <c r="H21" s="47">
        <f>G21*F21</f>
        <v>131250000</v>
      </c>
      <c r="K21" s="115"/>
      <c r="L21" s="37" t="str">
        <f>Assumptions!D45</f>
        <v>مستشار قانوني</v>
      </c>
      <c r="M21" s="37"/>
      <c r="N21" s="91">
        <f>Assumptions!E45</f>
        <v>50000</v>
      </c>
      <c r="O21" s="91">
        <v>0</v>
      </c>
      <c r="P21" s="92">
        <v>0</v>
      </c>
    </row>
    <row r="22" spans="2:16" x14ac:dyDescent="0.3">
      <c r="D22" s="37" t="s">
        <v>91</v>
      </c>
      <c r="E22" s="46"/>
      <c r="F22" s="47">
        <v>15000</v>
      </c>
      <c r="G22" s="47">
        <v>2000</v>
      </c>
      <c r="H22" s="47">
        <f>G22*F22</f>
        <v>30000000</v>
      </c>
      <c r="J22" s="20"/>
      <c r="K22" s="115"/>
      <c r="L22" s="37" t="str">
        <f>Assumptions!D46</f>
        <v xml:space="preserve">مراجع الحسابات </v>
      </c>
      <c r="M22" s="37"/>
      <c r="N22" s="91">
        <f>Assumptions!$E$46</f>
        <v>50000</v>
      </c>
      <c r="O22" s="91">
        <f>Assumptions!$E$46</f>
        <v>50000</v>
      </c>
      <c r="P22" s="92">
        <f>Assumptions!$E$46</f>
        <v>50000</v>
      </c>
    </row>
    <row r="23" spans="2:16" x14ac:dyDescent="0.3">
      <c r="D23" s="116" t="s">
        <v>30</v>
      </c>
      <c r="E23" s="117" t="s">
        <v>92</v>
      </c>
      <c r="F23" s="118" t="s">
        <v>92</v>
      </c>
      <c r="G23" s="118" t="s">
        <v>92</v>
      </c>
      <c r="H23" s="118">
        <f>SUM(H20:H22)</f>
        <v>187500000</v>
      </c>
      <c r="K23" s="115"/>
      <c r="L23" s="37" t="str">
        <f>Assumptions!D47</f>
        <v xml:space="preserve">التقييم </v>
      </c>
      <c r="M23" s="37"/>
      <c r="N23" s="91">
        <f>Assumptions!$E$47*4</f>
        <v>80000</v>
      </c>
      <c r="O23" s="91">
        <f>Assumptions!$E$47*4</f>
        <v>80000</v>
      </c>
      <c r="P23" s="92">
        <f>Assumptions!$E$47*4</f>
        <v>80000</v>
      </c>
    </row>
    <row r="24" spans="2:16" x14ac:dyDescent="0.3">
      <c r="D24" s="34" t="s">
        <v>29</v>
      </c>
      <c r="E24" s="34" t="s">
        <v>68</v>
      </c>
      <c r="F24" s="138" t="s">
        <v>25</v>
      </c>
      <c r="G24" s="139"/>
      <c r="H24" s="140"/>
      <c r="K24" s="115"/>
      <c r="L24" s="37" t="str">
        <f>Assumptions!D48</f>
        <v>احتياطي مصروفات أخرى</v>
      </c>
      <c r="M24" s="37"/>
      <c r="N24" s="91">
        <f>Assumptions!$E$48*SUM(Assumptions!N11:N13)</f>
        <v>169581.25</v>
      </c>
      <c r="O24" s="91">
        <f>Assumptions!$E$48*SUM(Assumptions!O11:O13)</f>
        <v>51046.875</v>
      </c>
      <c r="P24" s="92">
        <f>Assumptions!$E$48*SUM(Assumptions!P11:P13)</f>
        <v>24956.249999999996</v>
      </c>
    </row>
    <row r="25" spans="2:16" x14ac:dyDescent="0.3">
      <c r="D25" s="37" t="s">
        <v>80</v>
      </c>
      <c r="E25" s="48">
        <v>0.1</v>
      </c>
      <c r="F25" s="129">
        <f>E25*H23</f>
        <v>18750000</v>
      </c>
      <c r="G25" s="130"/>
      <c r="H25" s="131"/>
      <c r="K25" s="115"/>
      <c r="L25" s="37" t="str">
        <f>Assumptions!D49</f>
        <v>رسوم إنشاء الشركة ذات الغرض الخاص</v>
      </c>
      <c r="M25" s="37"/>
      <c r="N25" s="91">
        <f>Assumptions!E49</f>
        <v>25000</v>
      </c>
      <c r="O25" s="91">
        <v>0</v>
      </c>
      <c r="P25" s="92">
        <v>0</v>
      </c>
    </row>
    <row r="26" spans="2:16" x14ac:dyDescent="0.3">
      <c r="D26" s="37" t="s">
        <v>81</v>
      </c>
      <c r="E26" s="48">
        <v>0.06</v>
      </c>
      <c r="F26" s="132">
        <f>E26*H23</f>
        <v>11250000</v>
      </c>
      <c r="G26" s="133"/>
      <c r="H26" s="134"/>
      <c r="K26" s="115"/>
      <c r="L26" s="37" t="str">
        <f>Assumptions!D50</f>
        <v xml:space="preserve">رسوم هيكلة </v>
      </c>
      <c r="M26" s="37"/>
      <c r="N26" s="91">
        <f>Assumptions!E50*Assumptions!G60</f>
        <v>3784377.5552731366</v>
      </c>
      <c r="O26" s="91">
        <v>0</v>
      </c>
      <c r="P26" s="92">
        <v>0</v>
      </c>
    </row>
    <row r="27" spans="2:16" x14ac:dyDescent="0.3">
      <c r="D27" s="37" t="s">
        <v>82</v>
      </c>
      <c r="E27" s="48">
        <v>0.05</v>
      </c>
      <c r="F27" s="135">
        <f>E27*H23</f>
        <v>9375000</v>
      </c>
      <c r="G27" s="136"/>
      <c r="H27" s="137"/>
      <c r="K27" s="115"/>
      <c r="L27" s="93" t="str">
        <f>Assumptions!D51</f>
        <v>أتعاب المشغل</v>
      </c>
      <c r="M27" s="93"/>
      <c r="N27" s="94">
        <f>Assumptions!$E$51*(SUM(Assumptions!N11:N13))</f>
        <v>508743.75</v>
      </c>
      <c r="O27" s="94">
        <f>Assumptions!$E$51*(SUM(Assumptions!O11:O13))</f>
        <v>153140.625</v>
      </c>
      <c r="P27" s="95">
        <f>Assumptions!$E$51*(SUM(Assumptions!P11:P13))</f>
        <v>74868.749999999985</v>
      </c>
    </row>
    <row r="28" spans="2:16" x14ac:dyDescent="0.3">
      <c r="D28" s="116" t="s">
        <v>31</v>
      </c>
      <c r="E28" s="119"/>
      <c r="F28" s="119"/>
      <c r="G28" s="119"/>
      <c r="H28" s="120">
        <f>F25+F26+F27</f>
        <v>39375000</v>
      </c>
      <c r="K28" s="115"/>
      <c r="L28" s="34" t="s">
        <v>25</v>
      </c>
      <c r="M28" s="35"/>
      <c r="N28" s="96">
        <f>SUM(N11:N27)</f>
        <v>360344306.7219398</v>
      </c>
      <c r="O28" s="96">
        <f>SUM(O11:O27)</f>
        <v>117181010.39</v>
      </c>
      <c r="P28" s="97">
        <f>SUM(P11:P27)</f>
        <v>64112679.166666657</v>
      </c>
    </row>
    <row r="29" spans="2:16" x14ac:dyDescent="0.3">
      <c r="D29" s="24" t="s">
        <v>32</v>
      </c>
      <c r="E29" s="25"/>
      <c r="F29" s="25"/>
      <c r="G29" s="25"/>
      <c r="H29" s="27">
        <f>H28+H23</f>
        <v>226875000</v>
      </c>
      <c r="K29" s="115"/>
      <c r="L29" s="37"/>
      <c r="M29" s="33"/>
      <c r="N29" s="98"/>
      <c r="O29" s="98"/>
      <c r="P29" s="98"/>
    </row>
    <row r="30" spans="2:16" x14ac:dyDescent="0.3">
      <c r="G30" s="6"/>
      <c r="H30" s="4"/>
      <c r="K30" s="115"/>
      <c r="L30" s="34" t="s">
        <v>48</v>
      </c>
      <c r="M30" s="35"/>
      <c r="N30" s="96">
        <f>N8-N28-N29</f>
        <v>-360344306.7219398</v>
      </c>
      <c r="O30" s="96">
        <f>O8-O28-O29</f>
        <v>-117181010.39</v>
      </c>
      <c r="P30" s="97">
        <f>P8-P28-P29</f>
        <v>592137320.83333337</v>
      </c>
    </row>
    <row r="31" spans="2:16" ht="25.5" customHeight="1" x14ac:dyDescent="0.3">
      <c r="B31" s="19" t="s">
        <v>67</v>
      </c>
      <c r="D31" s="34" t="s">
        <v>69</v>
      </c>
      <c r="E31" s="35" t="s">
        <v>68</v>
      </c>
      <c r="F31" s="35" t="s">
        <v>78</v>
      </c>
      <c r="G31" s="35" t="s">
        <v>83</v>
      </c>
      <c r="H31" s="36" t="s">
        <v>84</v>
      </c>
      <c r="K31" s="115"/>
      <c r="L31" s="85" t="s">
        <v>65</v>
      </c>
      <c r="M31" s="99"/>
      <c r="N31" s="100">
        <f>N30</f>
        <v>-360344306.7219398</v>
      </c>
      <c r="O31" s="100">
        <f>O30+N31</f>
        <v>-477525317.11193979</v>
      </c>
      <c r="P31" s="101">
        <f>P30+O31</f>
        <v>114612003.72139359</v>
      </c>
    </row>
    <row r="32" spans="2:16" ht="22.5" customHeight="1" x14ac:dyDescent="0.3">
      <c r="D32" s="37" t="s">
        <v>90</v>
      </c>
      <c r="E32" s="51"/>
      <c r="F32" s="49">
        <f>F20</f>
        <v>52500</v>
      </c>
      <c r="G32" s="49">
        <v>12500</v>
      </c>
      <c r="H32" s="50">
        <f>G32*F32</f>
        <v>656250000</v>
      </c>
      <c r="I32" s="4"/>
      <c r="J32" s="4"/>
      <c r="K32" s="115"/>
      <c r="L32" s="37"/>
      <c r="M32" s="33"/>
      <c r="N32" s="102">
        <f>N31+N35</f>
        <v>-360344306.7219398</v>
      </c>
      <c r="O32" s="102"/>
      <c r="P32" s="33"/>
    </row>
    <row r="33" spans="2:16" ht="22.5" customHeight="1" x14ac:dyDescent="0.3">
      <c r="D33" s="116" t="s">
        <v>26</v>
      </c>
      <c r="E33" s="119"/>
      <c r="F33" s="119"/>
      <c r="G33" s="119"/>
      <c r="H33" s="121">
        <f>H32</f>
        <v>656250000</v>
      </c>
      <c r="K33" s="115"/>
      <c r="L33" s="90" t="s">
        <v>52</v>
      </c>
      <c r="M33" s="68"/>
      <c r="N33" s="33"/>
      <c r="O33" s="33"/>
      <c r="P33" s="33"/>
    </row>
    <row r="34" spans="2:16" ht="22.5" customHeight="1" x14ac:dyDescent="0.3">
      <c r="D34" s="24"/>
      <c r="E34" s="25"/>
      <c r="F34" s="25"/>
      <c r="G34" s="25"/>
      <c r="H34" s="28"/>
      <c r="K34" s="115"/>
      <c r="L34" s="37" t="str">
        <f>Assumptions!D57</f>
        <v>Equity</v>
      </c>
      <c r="M34" s="82"/>
      <c r="N34" s="103">
        <f>Assumptions!F57</f>
        <v>378304662.9452731</v>
      </c>
      <c r="O34" s="103"/>
      <c r="P34" s="84">
        <v>0</v>
      </c>
    </row>
    <row r="35" spans="2:16" ht="22.5" customHeight="1" x14ac:dyDescent="0.3">
      <c r="G35" s="6"/>
      <c r="K35" s="115"/>
      <c r="L35" s="37" t="s">
        <v>53</v>
      </c>
      <c r="M35" s="37"/>
      <c r="N35" s="98">
        <f>Assumptions!I12</f>
        <v>0</v>
      </c>
      <c r="O35" s="98"/>
      <c r="P35" s="92">
        <v>0</v>
      </c>
    </row>
    <row r="36" spans="2:16" ht="25.5" customHeight="1" x14ac:dyDescent="0.3">
      <c r="B36" s="107" t="s">
        <v>72</v>
      </c>
      <c r="D36" s="34" t="s">
        <v>57</v>
      </c>
      <c r="E36" s="35"/>
      <c r="F36" s="36"/>
      <c r="G36" s="3"/>
      <c r="K36" s="115"/>
      <c r="L36" s="37" t="s">
        <v>9</v>
      </c>
      <c r="M36" s="37"/>
      <c r="N36" s="124">
        <v>100000000</v>
      </c>
      <c r="O36" s="124">
        <f>63333333</f>
        <v>63333333</v>
      </c>
      <c r="P36" s="92">
        <f>Assumptions!F59-Assumptions!N36-Assumptions!O36</f>
        <v>0.33333331346511841</v>
      </c>
    </row>
    <row r="37" spans="2:16" x14ac:dyDescent="0.3">
      <c r="D37" s="34" t="s">
        <v>15</v>
      </c>
      <c r="E37" s="35"/>
      <c r="F37" s="36" t="s">
        <v>17</v>
      </c>
      <c r="G37" s="2"/>
      <c r="K37" s="115"/>
      <c r="L37" s="37" t="s">
        <v>7</v>
      </c>
      <c r="M37" s="37"/>
      <c r="N37" s="98">
        <f>N36</f>
        <v>100000000</v>
      </c>
      <c r="O37" s="98">
        <f>O36+N37</f>
        <v>163333333</v>
      </c>
      <c r="P37" s="92">
        <f>P36+O37</f>
        <v>163333333.33333331</v>
      </c>
    </row>
    <row r="38" spans="2:16" x14ac:dyDescent="0.3">
      <c r="D38" s="37" t="str">
        <f>Assumptions!L14</f>
        <v xml:space="preserve">فوائد تمويل </v>
      </c>
      <c r="E38" s="126">
        <v>0.08</v>
      </c>
      <c r="F38" s="50">
        <f>SUM(Assumptions!N14:P14)</f>
        <v>34133333.306666665</v>
      </c>
      <c r="G38" s="2"/>
      <c r="K38" s="115"/>
      <c r="L38" s="37" t="s">
        <v>8</v>
      </c>
      <c r="M38" s="37"/>
      <c r="N38" s="91">
        <v>0</v>
      </c>
      <c r="O38" s="91">
        <v>0</v>
      </c>
      <c r="P38" s="92">
        <f>P37</f>
        <v>163333333.33333331</v>
      </c>
    </row>
    <row r="39" spans="2:16" x14ac:dyDescent="0.3">
      <c r="D39" s="37" t="str">
        <f>Assumptions!L15</f>
        <v xml:space="preserve">أتعاب ترتيب تمويل </v>
      </c>
      <c r="E39" s="126">
        <v>0.02</v>
      </c>
      <c r="F39" s="50">
        <f>SUM(Assumptions!N15:P15)</f>
        <v>3266666.6666666665</v>
      </c>
      <c r="G39" s="3"/>
      <c r="K39" s="115"/>
      <c r="L39" s="37" t="s">
        <v>6</v>
      </c>
      <c r="M39" s="93"/>
      <c r="N39" s="94">
        <v>0</v>
      </c>
      <c r="O39" s="94">
        <f>N40</f>
        <v>117960356.2233333</v>
      </c>
      <c r="P39" s="95">
        <f>O40</f>
        <v>64112678.833333299</v>
      </c>
    </row>
    <row r="40" spans="2:16" x14ac:dyDescent="0.3">
      <c r="D40" s="37" t="s">
        <v>33</v>
      </c>
      <c r="E40" s="126">
        <v>1.4999999999999999E-2</v>
      </c>
      <c r="F40" s="50">
        <f>SUM(Assumptions!N16:P16)</f>
        <v>7367531.25</v>
      </c>
      <c r="G40" s="3"/>
      <c r="K40" s="115"/>
      <c r="L40" s="82" t="s">
        <v>66</v>
      </c>
      <c r="M40" s="80"/>
      <c r="N40" s="103">
        <f>N30+SUM(N34,N35,N36,-N38,N39)</f>
        <v>117960356.2233333</v>
      </c>
      <c r="O40" s="103">
        <f>O30+SUM(O34,O35,O36,-O38,O39)</f>
        <v>64112678.833333299</v>
      </c>
      <c r="P40" s="104">
        <f>P30+SUM(P34,P35,P36,-P38,P39)</f>
        <v>492916666.66666669</v>
      </c>
    </row>
    <row r="41" spans="2:16" x14ac:dyDescent="0.3">
      <c r="D41" s="37" t="s">
        <v>34</v>
      </c>
      <c r="E41" s="127">
        <v>50000</v>
      </c>
      <c r="F41" s="50">
        <f>SUM(Assumptions!N17:P17)</f>
        <v>150000</v>
      </c>
      <c r="G41" s="2"/>
      <c r="K41" s="115"/>
      <c r="L41" s="93" t="s">
        <v>11</v>
      </c>
      <c r="M41" s="105">
        <f>-N34-N35</f>
        <v>-378304662.9452731</v>
      </c>
      <c r="N41" s="106">
        <v>0</v>
      </c>
      <c r="O41" s="106">
        <v>0</v>
      </c>
      <c r="P41" s="95">
        <f>P40</f>
        <v>492916666.66666669</v>
      </c>
    </row>
    <row r="42" spans="2:16" x14ac:dyDescent="0.3">
      <c r="D42" s="37" t="s">
        <v>35</v>
      </c>
      <c r="E42" s="127">
        <f>20000*5</f>
        <v>100000</v>
      </c>
      <c r="F42" s="50">
        <f>SUM(Assumptions!N18:P18)</f>
        <v>300000</v>
      </c>
      <c r="G42" s="2"/>
      <c r="K42" s="115"/>
      <c r="N42" s="4"/>
      <c r="O42" s="4"/>
      <c r="P42" s="4"/>
    </row>
    <row r="43" spans="2:16" ht="18.600000000000001" thickBot="1" x14ac:dyDescent="0.35">
      <c r="D43" s="37" t="s">
        <v>36</v>
      </c>
      <c r="E43" s="127">
        <v>5000</v>
      </c>
      <c r="F43" s="50">
        <f>SUM(Assumptions!N19:P19)</f>
        <v>5000</v>
      </c>
      <c r="G43" s="2"/>
      <c r="K43" s="115"/>
      <c r="L43" s="11" t="s">
        <v>4</v>
      </c>
      <c r="M43" s="11"/>
      <c r="P43" s="123"/>
    </row>
    <row r="44" spans="2:16" x14ac:dyDescent="0.3">
      <c r="D44" s="37" t="s">
        <v>37</v>
      </c>
      <c r="E44" s="127">
        <v>5000</v>
      </c>
      <c r="F44" s="50">
        <f>SUM(Assumptions!N20:P20)</f>
        <v>15000</v>
      </c>
      <c r="G44" s="2"/>
      <c r="K44" s="115"/>
      <c r="L44" s="64" t="s">
        <v>5</v>
      </c>
      <c r="M44" s="65"/>
      <c r="N44" s="66">
        <f>IRR(M41:P41)</f>
        <v>9.2221202284262116E-2</v>
      </c>
      <c r="O44" s="16"/>
      <c r="P44" s="16"/>
    </row>
    <row r="45" spans="2:16" x14ac:dyDescent="0.3">
      <c r="D45" s="37" t="s">
        <v>77</v>
      </c>
      <c r="E45" s="127">
        <v>50000</v>
      </c>
      <c r="F45" s="50">
        <f>SUM(Assumptions!N21:P21)</f>
        <v>50000</v>
      </c>
      <c r="G45" s="2"/>
      <c r="K45" s="115"/>
      <c r="L45" s="67" t="s">
        <v>12</v>
      </c>
      <c r="M45" s="68"/>
      <c r="N45" s="69">
        <f>SUM(M41:P41)</f>
        <v>114612003.72139359</v>
      </c>
      <c r="O45" s="18"/>
      <c r="P45" s="17"/>
    </row>
    <row r="46" spans="2:16" x14ac:dyDescent="0.3">
      <c r="D46" s="37" t="s">
        <v>38</v>
      </c>
      <c r="E46" s="127">
        <v>50000</v>
      </c>
      <c r="F46" s="50">
        <f>SUM(Assumptions!N22:P22)</f>
        <v>150000</v>
      </c>
      <c r="G46" s="2"/>
      <c r="K46" s="115"/>
      <c r="L46" s="67" t="s">
        <v>10</v>
      </c>
      <c r="M46" s="68"/>
      <c r="N46" s="70">
        <f>-N45/M41</f>
        <v>0.30296217558908006</v>
      </c>
      <c r="O46" s="22"/>
      <c r="P46" s="21"/>
    </row>
    <row r="47" spans="2:16" ht="18.600000000000001" thickBot="1" x14ac:dyDescent="0.35">
      <c r="D47" s="37" t="s">
        <v>39</v>
      </c>
      <c r="E47" s="127">
        <v>20000</v>
      </c>
      <c r="F47" s="50">
        <f>SUM(Assumptions!N23:P23)</f>
        <v>240000</v>
      </c>
      <c r="G47" s="2"/>
      <c r="K47" s="115"/>
      <c r="L47" s="71" t="s">
        <v>54</v>
      </c>
      <c r="M47" s="72"/>
      <c r="N47" s="73">
        <f>N46/Assumptions!E5</f>
        <v>0.10098739186302669</v>
      </c>
      <c r="O47" s="18"/>
      <c r="P47" s="18"/>
    </row>
    <row r="48" spans="2:16" x14ac:dyDescent="0.3">
      <c r="D48" s="37" t="s">
        <v>40</v>
      </c>
      <c r="E48" s="126">
        <v>5.0000000000000001E-4</v>
      </c>
      <c r="F48" s="50">
        <f>SUM(Assumptions!N24:P24)</f>
        <v>245584.375</v>
      </c>
      <c r="G48" s="2"/>
      <c r="K48" s="115"/>
    </row>
    <row r="49" spans="4:11" x14ac:dyDescent="0.3">
      <c r="D49" s="37" t="s">
        <v>41</v>
      </c>
      <c r="E49" s="127">
        <v>25000</v>
      </c>
      <c r="F49" s="50">
        <f>SUM(Assumptions!N25:P25)</f>
        <v>25000</v>
      </c>
      <c r="G49" s="2"/>
      <c r="K49" s="115"/>
    </row>
    <row r="50" spans="4:11" x14ac:dyDescent="0.3">
      <c r="D50" s="37" t="s">
        <v>42</v>
      </c>
      <c r="E50" s="128">
        <v>0.01</v>
      </c>
      <c r="F50" s="50">
        <f>SUM(Assumptions!N26:P26)</f>
        <v>3784377.5552731366</v>
      </c>
      <c r="G50" s="2"/>
      <c r="K50" s="115"/>
    </row>
    <row r="51" spans="4:11" x14ac:dyDescent="0.3">
      <c r="D51" s="37" t="s">
        <v>43</v>
      </c>
      <c r="E51" s="126">
        <v>1.5E-3</v>
      </c>
      <c r="F51" s="50">
        <f>SUM(Assumptions!N27:P27)</f>
        <v>736753.125</v>
      </c>
      <c r="G51" s="2"/>
      <c r="K51" s="115"/>
    </row>
    <row r="52" spans="4:11" x14ac:dyDescent="0.3">
      <c r="D52" s="24" t="s">
        <v>16</v>
      </c>
      <c r="E52" s="25"/>
      <c r="F52" s="26">
        <f>SUM(F38:F51)</f>
        <v>50469246.278606467</v>
      </c>
      <c r="G52" s="2"/>
      <c r="I52" s="7"/>
      <c r="K52" s="115"/>
    </row>
    <row r="53" spans="4:11" x14ac:dyDescent="0.3">
      <c r="G53" s="2"/>
      <c r="H53" s="20"/>
      <c r="I53" s="7"/>
      <c r="K53" s="115"/>
    </row>
    <row r="54" spans="4:11" x14ac:dyDescent="0.3">
      <c r="D54" s="34" t="s">
        <v>18</v>
      </c>
      <c r="E54" s="35"/>
      <c r="F54" s="52">
        <f>F16+H29+F52</f>
        <v>541637996.27860641</v>
      </c>
      <c r="G54" s="6"/>
      <c r="I54" s="7"/>
      <c r="K54" s="115"/>
    </row>
    <row r="55" spans="4:11" x14ac:dyDescent="0.3">
      <c r="G55" s="8"/>
      <c r="K55" s="115"/>
    </row>
    <row r="56" spans="4:11" x14ac:dyDescent="0.3">
      <c r="D56" s="34" t="s">
        <v>0</v>
      </c>
      <c r="E56" s="35"/>
      <c r="F56" s="36"/>
      <c r="G56" s="2"/>
      <c r="K56" s="115"/>
    </row>
    <row r="57" spans="4:11" x14ac:dyDescent="0.3">
      <c r="D57" s="37" t="s">
        <v>63</v>
      </c>
      <c r="E57" s="53">
        <f>F57/$F$60</f>
        <v>0.6984455772018654</v>
      </c>
      <c r="F57" s="54">
        <f>F54-SUM(F58:F59)</f>
        <v>378304662.9452731</v>
      </c>
      <c r="G57" s="23"/>
      <c r="K57" s="115"/>
    </row>
    <row r="58" spans="4:11" x14ac:dyDescent="0.3">
      <c r="D58" s="37" t="s">
        <v>76</v>
      </c>
      <c r="E58" s="53">
        <f>F58/$F$60</f>
        <v>0</v>
      </c>
      <c r="F58" s="54">
        <f>I12</f>
        <v>0</v>
      </c>
      <c r="G58" s="20"/>
      <c r="H58" s="125"/>
      <c r="K58" s="115"/>
    </row>
    <row r="59" spans="4:11" x14ac:dyDescent="0.3">
      <c r="D59" s="37" t="s">
        <v>51</v>
      </c>
      <c r="E59" s="53">
        <f>F59/$F$60</f>
        <v>0.30155442279813455</v>
      </c>
      <c r="F59" s="54">
        <f>G59*F12</f>
        <v>163333333.33333331</v>
      </c>
      <c r="G59" s="5">
        <v>0.66666666666666663</v>
      </c>
      <c r="H59" s="9"/>
      <c r="K59" s="115"/>
    </row>
    <row r="60" spans="4:11" x14ac:dyDescent="0.3">
      <c r="D60" s="24" t="s">
        <v>1</v>
      </c>
      <c r="E60" s="29">
        <f>SUM(E57:E59)</f>
        <v>1</v>
      </c>
      <c r="F60" s="30">
        <f>SUM(F57:F59)</f>
        <v>541637996.27860641</v>
      </c>
      <c r="G60" s="122">
        <v>378437755.52731365</v>
      </c>
      <c r="H60" s="4"/>
      <c r="I60" s="4"/>
      <c r="J60" s="4"/>
      <c r="K60" s="115"/>
    </row>
    <row r="61" spans="4:11" x14ac:dyDescent="0.3">
      <c r="G61" s="10"/>
      <c r="K61" s="115"/>
    </row>
    <row r="62" spans="4:11" x14ac:dyDescent="0.3">
      <c r="D62" s="34" t="s">
        <v>2</v>
      </c>
      <c r="E62" s="35"/>
      <c r="F62" s="36"/>
      <c r="G62" s="2"/>
      <c r="K62" s="115"/>
    </row>
    <row r="63" spans="4:11" x14ac:dyDescent="0.3">
      <c r="D63" s="13" t="s">
        <v>3</v>
      </c>
      <c r="E63" s="14"/>
      <c r="F63" s="15">
        <v>3</v>
      </c>
      <c r="K63" s="115"/>
    </row>
    <row r="64" spans="4:11" x14ac:dyDescent="0.3">
      <c r="K64" s="115"/>
    </row>
    <row r="65" spans="4:11" ht="18.600000000000001" thickBot="1" x14ac:dyDescent="0.35">
      <c r="D65" s="34" t="s">
        <v>73</v>
      </c>
      <c r="E65" s="35" t="s">
        <v>13</v>
      </c>
      <c r="F65" s="35" t="s">
        <v>14</v>
      </c>
      <c r="G65" s="36" t="s">
        <v>87</v>
      </c>
      <c r="H65" s="12"/>
      <c r="K65" s="115"/>
    </row>
    <row r="66" spans="4:11" ht="18.600000000000001" thickBot="1" x14ac:dyDescent="0.35">
      <c r="D66" s="55"/>
      <c r="E66" s="56">
        <v>1</v>
      </c>
      <c r="F66" s="56">
        <v>0</v>
      </c>
      <c r="G66" s="57">
        <v>0</v>
      </c>
      <c r="H66" s="62">
        <f>SUM(E66:G66)</f>
        <v>1</v>
      </c>
      <c r="K66" s="115"/>
    </row>
    <row r="67" spans="4:11" x14ac:dyDescent="0.3">
      <c r="D67" s="33"/>
      <c r="E67" s="33"/>
      <c r="F67" s="33"/>
      <c r="G67" s="33"/>
      <c r="H67" s="63"/>
      <c r="K67" s="115"/>
    </row>
    <row r="68" spans="4:11" ht="18.600000000000001" thickBot="1" x14ac:dyDescent="0.35">
      <c r="D68" s="58" t="s">
        <v>74</v>
      </c>
      <c r="E68" s="35" t="s">
        <v>13</v>
      </c>
      <c r="F68" s="35" t="s">
        <v>14</v>
      </c>
      <c r="G68" s="36" t="s">
        <v>87</v>
      </c>
      <c r="H68" s="63"/>
      <c r="K68" s="115"/>
    </row>
    <row r="69" spans="4:11" ht="18.600000000000001" thickBot="1" x14ac:dyDescent="0.35">
      <c r="D69" s="59"/>
      <c r="E69" s="60">
        <v>0.33</v>
      </c>
      <c r="F69" s="60">
        <v>0.45</v>
      </c>
      <c r="G69" s="61">
        <v>0.21999999999999997</v>
      </c>
      <c r="H69" s="62">
        <f>SUM(E69:G69)</f>
        <v>1</v>
      </c>
      <c r="K69" s="115"/>
    </row>
    <row r="70" spans="4:11" x14ac:dyDescent="0.3">
      <c r="D70" s="33"/>
      <c r="E70" s="33"/>
      <c r="F70" s="33"/>
      <c r="G70" s="33"/>
      <c r="H70" s="63"/>
      <c r="K70" s="115"/>
    </row>
    <row r="71" spans="4:11" ht="18.600000000000001" thickBot="1" x14ac:dyDescent="0.35">
      <c r="D71" s="58" t="s">
        <v>29</v>
      </c>
      <c r="E71" s="35" t="s">
        <v>13</v>
      </c>
      <c r="F71" s="35" t="s">
        <v>14</v>
      </c>
      <c r="G71" s="36" t="s">
        <v>87</v>
      </c>
      <c r="H71" s="63"/>
      <c r="K71" s="115"/>
    </row>
    <row r="72" spans="4:11" ht="18.600000000000001" thickBot="1" x14ac:dyDescent="0.35">
      <c r="D72" s="59"/>
      <c r="E72" s="60">
        <v>0.33</v>
      </c>
      <c r="F72" s="60">
        <v>0.45</v>
      </c>
      <c r="G72" s="61">
        <v>0.21999999999999997</v>
      </c>
      <c r="H72" s="62">
        <f>SUM(E72:G72)</f>
        <v>1</v>
      </c>
      <c r="K72" s="115"/>
    </row>
    <row r="73" spans="4:11" x14ac:dyDescent="0.3">
      <c r="E73" s="20">
        <f>H29*E72</f>
        <v>74868750</v>
      </c>
      <c r="F73" s="20">
        <f>H29*F72</f>
        <v>102093750</v>
      </c>
      <c r="G73" s="20">
        <f>H29*G72</f>
        <v>49912499.999999993</v>
      </c>
      <c r="K73" s="115"/>
    </row>
  </sheetData>
  <mergeCells count="10">
    <mergeCell ref="E2:F2"/>
    <mergeCell ref="F25:H25"/>
    <mergeCell ref="F26:H26"/>
    <mergeCell ref="F27:H27"/>
    <mergeCell ref="F24:H24"/>
    <mergeCell ref="E3:F3"/>
    <mergeCell ref="E4:F4"/>
    <mergeCell ref="E5:F5"/>
    <mergeCell ref="E6:F6"/>
    <mergeCell ref="E7:F7"/>
  </mergeCells>
  <phoneticPr fontId="2" type="noConversion"/>
  <hyperlinks>
    <hyperlink ref="D2" r:id="rId1" xr:uid="{BF1E307F-D500-4E32-9DF4-88845E97C6CB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13:J42"/>
  <sheetViews>
    <sheetView showGridLines="0" zoomScaleNormal="100" workbookViewId="0">
      <pane xSplit="1" topLeftCell="B1" activePane="topRight" state="frozen"/>
      <selection pane="topRight" activeCell="E48" sqref="A4:E48"/>
    </sheetView>
  </sheetViews>
  <sheetFormatPr defaultColWidth="9.109375" defaultRowHeight="18" x14ac:dyDescent="0.3"/>
  <cols>
    <col min="1" max="1" width="41" style="1" bestFit="1" customWidth="1"/>
    <col min="2" max="2" width="11.109375" style="1" customWidth="1"/>
    <col min="3" max="3" width="17.44140625" style="1" bestFit="1" customWidth="1"/>
    <col min="4" max="5" width="17.44140625" style="1" customWidth="1"/>
    <col min="6" max="6" width="9.109375" style="1"/>
    <col min="7" max="7" width="12.44140625" style="1" bestFit="1" customWidth="1"/>
    <col min="8" max="8" width="9.109375" style="1"/>
    <col min="9" max="9" width="13.21875" style="1" bestFit="1" customWidth="1"/>
    <col min="10" max="10" width="10.5546875" style="1" bestFit="1" customWidth="1"/>
    <col min="11" max="16384" width="9.109375" style="1"/>
  </cols>
  <sheetData>
    <row r="13" spans="7:7" x14ac:dyDescent="0.3">
      <c r="G13" s="20"/>
    </row>
    <row r="41" spans="7:10" x14ac:dyDescent="0.3">
      <c r="G41" s="20"/>
      <c r="I41" s="1" t="s">
        <v>88</v>
      </c>
      <c r="J41" s="108">
        <v>100194753.96918178</v>
      </c>
    </row>
    <row r="42" spans="7:10" x14ac:dyDescent="0.3">
      <c r="G42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Yazeed Binrawaf</dc:creator>
  <cp:lastModifiedBy>Nada Khaled</cp:lastModifiedBy>
  <cp:lastPrinted>2023-06-01T08:10:56Z</cp:lastPrinted>
  <dcterms:created xsi:type="dcterms:W3CDTF">2022-07-24T09:56:11Z</dcterms:created>
  <dcterms:modified xsi:type="dcterms:W3CDTF">2025-05-01T16:13:03Z</dcterms:modified>
</cp:coreProperties>
</file>