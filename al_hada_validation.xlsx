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تقرير الأنظمة" sheetId="2" state="visible" r:id="rId2"/>
    <sheet xmlns:r="http://schemas.openxmlformats.org/officeDocument/2006/relationships" name="بيانات السوق" sheetId="3" state="visible" r:id="rId3"/>
    <sheet xmlns:r="http://schemas.openxmlformats.org/officeDocument/2006/relationships" name="تحليل الحساسية" sheetId="4" state="visible" r:id="rId4"/>
    <sheet xmlns:r="http://schemas.openxmlformats.org/officeDocument/2006/relationships" name="مقارنة السيناريوه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0.0%"/>
  </numFmts>
  <fonts count="7">
    <font>
      <name val="Calibri"/>
      <family val="2"/>
      <color theme="1"/>
      <sz val="11"/>
      <scheme val="minor"/>
    </font>
    <font>
      <name val="Sakkal Majalla"/>
      <sz val="10"/>
    </font>
    <font>
      <name val="Sakkal Majalla"/>
      <b val="1"/>
      <sz val="12"/>
    </font>
    <font>
      <name val="Sakkal Majalla"/>
      <sz val="12"/>
    </font>
    <font>
      <name val="Sakkal Majalla"/>
      <b val="1"/>
      <sz val="14"/>
    </font>
    <font>
      <name val="Sakkal Majalla"/>
      <b val="1"/>
      <color rgb="00FFFFFF"/>
      <sz val="12"/>
    </font>
    <font>
      <name val="Sakkal Majalla"/>
      <b val="1"/>
      <color rgb="00FFFFFF"/>
      <sz val="16"/>
    </font>
  </fonts>
  <fills count="9">
    <fill>
      <patternFill/>
    </fill>
    <fill>
      <patternFill patternType="gray125"/>
    </fill>
    <fill>
      <patternFill patternType="solid">
        <fgColor rgb="00969183"/>
        <bgColor rgb="00969183"/>
      </patternFill>
    </fill>
    <fill>
      <patternFill patternType="solid">
        <fgColor rgb="00898989"/>
        <bgColor rgb="00898989"/>
      </patternFill>
    </fill>
    <fill>
      <patternFill patternType="solid">
        <fgColor rgb="00FAFBF4"/>
        <bgColor rgb="00FAFBF4"/>
      </patternFill>
    </fill>
    <fill>
      <patternFill patternType="solid">
        <fgColor rgb="001B5E20"/>
        <bgColor rgb="001B5E20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3">
    <border>
      <left/>
      <right/>
      <top/>
      <bottom/>
      <diagonal/>
    </border>
    <border>
      <top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0" pivotButton="0" quotePrefix="0" xfId="0"/>
    <xf numFmtId="164" fontId="3" fillId="4" borderId="0" applyAlignment="1" pivotButton="0" quotePrefix="0" xfId="0">
      <alignment horizontal="center" vertical="center" wrapText="1"/>
    </xf>
    <xf numFmtId="9" fontId="3" fillId="4" borderId="0" applyAlignment="1" pivotButton="0" quotePrefix="0" xfId="0">
      <alignment horizontal="center" vertical="center" wrapText="1"/>
    </xf>
    <xf numFmtId="9" fontId="3" fillId="0" borderId="0" applyAlignment="1" pivotButton="0" quotePrefix="0" xfId="0">
      <alignment horizontal="center" vertical="center" wrapText="1"/>
    </xf>
    <xf numFmtId="43" fontId="3" fillId="4" borderId="0" applyAlignment="1" pivotButton="0" quotePrefix="0" xfId="0">
      <alignment horizontal="center" vertical="center" wrapText="1"/>
    </xf>
    <xf numFmtId="43" fontId="3" fillId="0" borderId="0" applyAlignment="1" pivotButton="0" quotePrefix="0" xfId="0">
      <alignment horizontal="center" vertical="center" wrapText="1"/>
    </xf>
    <xf numFmtId="165" fontId="3" fillId="4" borderId="0" applyAlignment="1" pivotButton="0" quotePrefix="0" xfId="0">
      <alignment horizontal="center" vertical="center" wrapText="1"/>
    </xf>
    <xf numFmtId="0" fontId="5" fillId="3" borderId="0" pivotButton="0" quotePrefix="0" xfId="0"/>
    <xf numFmtId="164" fontId="5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43" fontId="5" fillId="3" borderId="0" applyAlignment="1" pivotButton="0" quotePrefix="0" xfId="0">
      <alignment horizontal="center" vertical="center" wrapText="1"/>
    </xf>
    <xf numFmtId="38" fontId="5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38" fontId="2" fillId="0" borderId="1" applyAlignment="1" pivotButton="0" quotePrefix="0" xfId="0">
      <alignment horizontal="center" vertical="center" wrapText="1"/>
    </xf>
    <xf numFmtId="38" fontId="3" fillId="0" borderId="0" applyAlignment="1" pivotButton="0" quotePrefix="0" xfId="0">
      <alignment horizontal="center" vertical="center" wrapText="1"/>
    </xf>
    <xf numFmtId="10" fontId="3" fillId="4" borderId="0" applyAlignment="1" pivotButton="0" quotePrefix="0" xfId="0">
      <alignment horizontal="center" vertical="center" wrapText="1"/>
    </xf>
    <xf numFmtId="38" fontId="2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10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9" fontId="5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2" fontId="3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center" vertical="center" wrapText="1"/>
    </xf>
    <xf numFmtId="10" fontId="3" fillId="6" borderId="2" applyAlignment="1" pivotButton="0" quotePrefix="0" xfId="0">
      <alignment horizontal="center" vertical="center" wrapText="1"/>
    </xf>
    <xf numFmtId="10" fontId="3" fillId="7" borderId="2" applyAlignment="1" pivotButton="0" quotePrefix="0" xfId="0">
      <alignment horizontal="center" vertical="center" wrapText="1"/>
    </xf>
    <xf numFmtId="10" fontId="3" fillId="8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60"/>
  <sheetViews>
    <sheetView rightToLeft="1" workbookViewId="0">
      <selection activeCell="A1" sqref="A1"/>
    </sheetView>
  </sheetViews>
  <sheetFormatPr baseColWidth="8" defaultRowHeight="15"/>
  <cols>
    <col width="23" customWidth="1" min="2" max="2"/>
    <col width="3" customWidth="1" min="3" max="3"/>
    <col width="39" customWidth="1" min="4" max="4"/>
    <col width="15" customWidth="1" min="5" max="5"/>
    <col width="15" customWidth="1" min="6" max="6"/>
    <col width="15" customWidth="1" min="7" max="7"/>
    <col width="17" customWidth="1" min="8" max="8"/>
    <col width="5" customWidth="1" min="9" max="9"/>
    <col width="3" customWidth="1" min="10" max="10"/>
    <col width="3" customWidth="1" min="11" max="11"/>
    <col width="26" customWidth="1" min="12" max="12"/>
    <col width="10" customWidth="1" min="13" max="13"/>
    <col width="20" customWidth="1" min="14" max="14"/>
    <col width="20" customWidth="1" min="15" max="15"/>
    <col width="20" customWidth="1" min="16" max="16"/>
  </cols>
  <sheetData>
    <row r="2">
      <c r="D2" s="1" t="inlineStr">
        <is>
          <t>Google Maps Link</t>
        </is>
      </c>
      <c r="E2" s="2" t="inlineStr">
        <is>
          <t>Parcel 9999999 - الهدا</t>
        </is>
      </c>
    </row>
    <row r="3">
      <c r="D3" s="2" t="inlineStr">
        <is>
          <t xml:space="preserve">Fund Name </t>
        </is>
      </c>
      <c r="E3" s="2" t="inlineStr">
        <is>
          <t>صندوق استثمار عقاري</t>
        </is>
      </c>
      <c r="L3" s="3" t="inlineStr">
        <is>
          <t>بالريال السعودي</t>
        </is>
      </c>
    </row>
    <row r="4">
      <c r="D4" s="2" t="inlineStr">
        <is>
          <t xml:space="preserve">Fund Type </t>
        </is>
      </c>
      <c r="E4" s="2" t="inlineStr">
        <is>
          <t>صندوق استثمار عقاري خاص</t>
        </is>
      </c>
      <c r="L4" s="3" t="inlineStr">
        <is>
          <t>السنة</t>
        </is>
      </c>
      <c r="N4" s="4" t="n">
        <v>2025</v>
      </c>
      <c r="O4" s="4" t="n">
        <v>2026</v>
      </c>
      <c r="P4" s="4" t="n">
        <v>2027</v>
      </c>
    </row>
    <row r="5">
      <c r="D5" s="2" t="inlineStr">
        <is>
          <t>Fund Period- year</t>
        </is>
      </c>
      <c r="E5" s="2" t="n">
        <v>3</v>
      </c>
      <c r="N5" s="4" t="inlineStr">
        <is>
          <t>Y1</t>
        </is>
      </c>
      <c r="O5" s="4" t="inlineStr">
        <is>
          <t>Y2</t>
        </is>
      </c>
      <c r="P5" s="4" t="inlineStr">
        <is>
          <t>Y3</t>
        </is>
      </c>
    </row>
    <row r="6">
      <c r="D6" s="2" t="inlineStr">
        <is>
          <t>Fund Size- SAR</t>
        </is>
      </c>
      <c r="E6" s="2">
        <f>F54</f>
        <v/>
      </c>
      <c r="L6" s="3" t="inlineStr">
        <is>
          <t xml:space="preserve">التدفقات النقدية الداخلة </t>
        </is>
      </c>
    </row>
    <row r="7">
      <c r="D7" s="2" t="inlineStr">
        <is>
          <t>Total Equity</t>
        </is>
      </c>
      <c r="E7" s="2">
        <f>F57</f>
        <v/>
      </c>
      <c r="L7" s="5" t="inlineStr">
        <is>
          <t xml:space="preserve">المبيعات </t>
        </is>
      </c>
      <c r="N7" s="6" t="n">
        <v>0</v>
      </c>
      <c r="O7" s="6" t="n">
        <v>0</v>
      </c>
      <c r="P7" s="6" t="n">
        <v>656250000</v>
      </c>
    </row>
    <row r="8">
      <c r="L8" s="3" t="inlineStr">
        <is>
          <t xml:space="preserve">الإجمالي </t>
        </is>
      </c>
      <c r="N8" s="7">
        <f>SUM(N7)</f>
        <v/>
      </c>
      <c r="O8" s="7">
        <f>SUM(O7)</f>
        <v/>
      </c>
      <c r="P8" s="7">
        <f>SUM(P7)</f>
        <v/>
      </c>
    </row>
    <row r="9">
      <c r="B9" s="8" t="inlineStr">
        <is>
          <t>الأرض</t>
        </is>
      </c>
      <c r="D9" s="9" t="inlineStr">
        <is>
          <t>افتراضات الأرض</t>
        </is>
      </c>
      <c r="L9" s="3" t="inlineStr">
        <is>
          <t xml:space="preserve">التدفقات النقدية الخارجة </t>
        </is>
      </c>
    </row>
    <row r="10">
      <c r="F10" s="4" t="inlineStr">
        <is>
          <t xml:space="preserve">الإجمالي </t>
        </is>
      </c>
      <c r="H10" s="4" t="inlineStr">
        <is>
          <t>النقدي</t>
        </is>
      </c>
      <c r="I10" s="4" t="inlineStr">
        <is>
          <t xml:space="preserve">العيني </t>
        </is>
      </c>
    </row>
    <row r="11">
      <c r="D11" s="5" t="inlineStr">
        <is>
          <t xml:space="preserve">مساحة الأرض </t>
        </is>
      </c>
      <c r="F11" s="10" t="n">
        <v>35000</v>
      </c>
      <c r="H11" s="11" t="n">
        <v>1</v>
      </c>
      <c r="I11" s="12" t="n">
        <v>0</v>
      </c>
      <c r="L11" s="5" t="inlineStr">
        <is>
          <t xml:space="preserve">إجمالي الاستحواذ على الأرض </t>
        </is>
      </c>
      <c r="N11" s="6" t="n">
        <v>264293750</v>
      </c>
      <c r="O11" s="6" t="n">
        <v>0</v>
      </c>
      <c r="P11" s="6" t="n">
        <v>0</v>
      </c>
    </row>
    <row r="12">
      <c r="D12" s="5" t="inlineStr">
        <is>
          <t xml:space="preserve">سعر الاستحواذ بالمتر </t>
        </is>
      </c>
      <c r="E12" s="13" t="n">
        <v>7000</v>
      </c>
      <c r="F12" s="10">
        <f>$E$12*F11</f>
        <v/>
      </c>
      <c r="H12" s="13">
        <f>H11*$F$16</f>
        <v/>
      </c>
      <c r="I12" s="14">
        <f>I11*F12</f>
        <v/>
      </c>
      <c r="L12" s="5" t="inlineStr">
        <is>
          <t xml:space="preserve">التكاليف المباشرة </t>
        </is>
      </c>
      <c r="N12" s="6" t="n">
        <v>61875000</v>
      </c>
      <c r="O12" s="6" t="n">
        <v>84375000</v>
      </c>
      <c r="P12" s="6" t="n">
        <v>41250000</v>
      </c>
    </row>
    <row r="13">
      <c r="D13" s="5" t="inlineStr">
        <is>
          <t>السعي</t>
        </is>
      </c>
      <c r="E13" s="15" t="n">
        <v>0.025</v>
      </c>
      <c r="F13" s="10">
        <f>$E$13*F12</f>
        <v/>
      </c>
      <c r="L13" s="5" t="inlineStr">
        <is>
          <t xml:space="preserve">التكاليف غير المباشرة </t>
        </is>
      </c>
      <c r="N13" s="6" t="n">
        <v>12993750</v>
      </c>
      <c r="O13" s="6" t="n">
        <v>17718750</v>
      </c>
      <c r="P13" s="6" t="n">
        <v>8662500</v>
      </c>
    </row>
    <row r="14">
      <c r="D14" s="5" t="inlineStr">
        <is>
          <t>ضريبة التصرفات العقارية</t>
        </is>
      </c>
      <c r="E14" s="11" t="n">
        <v>0.05</v>
      </c>
      <c r="F14" s="10">
        <f>E14*F12</f>
        <v/>
      </c>
      <c r="L14" s="5" t="inlineStr">
        <is>
          <t xml:space="preserve">فوائد تمويل </t>
        </is>
      </c>
      <c r="N14" s="6" t="n">
        <v>9022812.084217818</v>
      </c>
      <c r="O14" s="6" t="n">
        <v>11738833.81782078</v>
      </c>
      <c r="P14" s="6" t="n">
        <v>13066666.66536</v>
      </c>
    </row>
    <row r="15">
      <c r="D15" s="5" t="inlineStr">
        <is>
          <t>ضريبة السعي</t>
        </is>
      </c>
      <c r="E15" s="11" t="n">
        <v>0.15</v>
      </c>
      <c r="F15" s="10">
        <f>E15*F13</f>
        <v/>
      </c>
      <c r="L15" s="5" t="inlineStr">
        <is>
          <t xml:space="preserve">أتعاب ترتيب تمويل </t>
        </is>
      </c>
      <c r="N15" s="6" t="n">
        <v>3266666.66634</v>
      </c>
    </row>
    <row r="16">
      <c r="D16" s="16" t="inlineStr">
        <is>
          <t>الإجمالي</t>
        </is>
      </c>
      <c r="F16" s="17">
        <f>SUM(F12:F15)</f>
        <v/>
      </c>
      <c r="L16" s="5" t="inlineStr">
        <is>
          <t xml:space="preserve">رسوم إدارة الصندوق </t>
        </is>
      </c>
      <c r="N16" s="6" t="n">
        <v>13100449.9997942</v>
      </c>
      <c r="O16" s="6" t="n">
        <v>2020593.75</v>
      </c>
      <c r="P16" s="6" t="n">
        <v>1133512.5</v>
      </c>
    </row>
    <row r="17"/>
    <row r="18">
      <c r="B18" s="8" t="inlineStr">
        <is>
          <t>التكاليف</t>
        </is>
      </c>
      <c r="D18" s="9" t="inlineStr">
        <is>
          <t xml:space="preserve">افتراضات التكاليف </t>
        </is>
      </c>
    </row>
    <row r="19">
      <c r="D19" s="3" t="inlineStr">
        <is>
          <t xml:space="preserve">التكاليف المباشرة </t>
        </is>
      </c>
      <c r="E19" s="18" t="inlineStr">
        <is>
          <t>%</t>
        </is>
      </c>
      <c r="F19" s="18" t="inlineStr">
        <is>
          <t xml:space="preserve">المساحة </t>
        </is>
      </c>
      <c r="G19" s="18" t="inlineStr">
        <is>
          <t xml:space="preserve">التكلفة/ متر </t>
        </is>
      </c>
      <c r="H19" s="18" t="inlineStr">
        <is>
          <t xml:space="preserve">الإجمالي </t>
        </is>
      </c>
    </row>
    <row r="20">
      <c r="D20" s="5" t="inlineStr">
        <is>
          <t>تطوير البنية التحتية</t>
        </is>
      </c>
      <c r="E20" s="11" t="n">
        <v>1</v>
      </c>
      <c r="F20" s="10" t="n">
        <v>52500</v>
      </c>
      <c r="G20" s="10" t="n">
        <v>500</v>
      </c>
      <c r="H20" s="10">
        <f>G20*F20</f>
        <v/>
      </c>
    </row>
    <row r="21">
      <c r="D21" s="5" t="inlineStr">
        <is>
          <t>تطوير البنية العلوية</t>
        </is>
      </c>
      <c r="F21" s="10">
        <f>F20</f>
        <v/>
      </c>
      <c r="G21" s="10" t="n">
        <v>2500</v>
      </c>
      <c r="H21" s="10">
        <f>G21*F21</f>
        <v/>
      </c>
    </row>
    <row r="22">
      <c r="D22" s="5" t="inlineStr">
        <is>
          <t>مواقف(قبو)</t>
        </is>
      </c>
      <c r="F22" s="10" t="n">
        <v>15000</v>
      </c>
      <c r="G22" s="10" t="n">
        <v>2000</v>
      </c>
      <c r="H22" s="10">
        <f>G22*F22</f>
        <v/>
      </c>
    </row>
    <row r="23">
      <c r="D23" s="16" t="inlineStr">
        <is>
          <t xml:space="preserve">إجمالي التكاليف المباشرة </t>
        </is>
      </c>
      <c r="H23" s="19">
        <f>SUM(H20:H22)</f>
        <v/>
      </c>
    </row>
    <row r="24">
      <c r="D24" s="3" t="inlineStr">
        <is>
          <t xml:space="preserve">التكاليف غير المباشرة </t>
        </is>
      </c>
      <c r="E24" s="18" t="inlineStr">
        <is>
          <t>%</t>
        </is>
      </c>
      <c r="F24" s="18" t="inlineStr">
        <is>
          <t xml:space="preserve">الإجمالي </t>
        </is>
      </c>
    </row>
    <row r="25">
      <c r="D25" s="5" t="inlineStr">
        <is>
          <t xml:space="preserve">أتعاب المطور </t>
        </is>
      </c>
      <c r="E25" s="15" t="n">
        <v>0.1</v>
      </c>
      <c r="F25" s="10">
        <f>E25*H23</f>
        <v/>
      </c>
    </row>
    <row r="26">
      <c r="D26" s="5" t="inlineStr">
        <is>
          <t xml:space="preserve">تكاليف غير مباشرة أخرى </t>
        </is>
      </c>
      <c r="E26" s="15" t="n">
        <v>0.06</v>
      </c>
      <c r="F26" s="10">
        <f>E26*H23</f>
        <v/>
      </c>
    </row>
    <row r="27">
      <c r="D27" s="5" t="inlineStr">
        <is>
          <t xml:space="preserve">احتياطي </t>
        </is>
      </c>
      <c r="E27" s="15" t="n">
        <v>0.05</v>
      </c>
      <c r="F27" s="10">
        <f>E27*H23</f>
        <v/>
      </c>
    </row>
    <row r="28">
      <c r="D28" s="16" t="inlineStr">
        <is>
          <t xml:space="preserve">إجمالي التكاليف غير المباشرة </t>
        </is>
      </c>
      <c r="H28" s="19">
        <f>F25+F26+F27</f>
        <v/>
      </c>
      <c r="L28" s="16" t="inlineStr">
        <is>
          <t xml:space="preserve">الإجمالي </t>
        </is>
      </c>
      <c r="N28" s="20">
        <f>SUM(N11:N27)</f>
        <v/>
      </c>
      <c r="O28" s="20">
        <f>SUM(O11:O27)</f>
        <v/>
      </c>
      <c r="P28" s="20">
        <f>SUM(P11:P27)</f>
        <v/>
      </c>
    </row>
    <row r="29">
      <c r="D29" s="16" t="inlineStr">
        <is>
          <t xml:space="preserve">إجمالي التكاليف المباشرة وغير المباشرة </t>
        </is>
      </c>
      <c r="H29" s="19">
        <f>H28+H23</f>
        <v/>
      </c>
    </row>
    <row r="30">
      <c r="L30" s="21" t="inlineStr">
        <is>
          <t xml:space="preserve">صافي التدفقات النقدية </t>
        </is>
      </c>
      <c r="N30" s="22">
        <f>N8-N28</f>
        <v/>
      </c>
      <c r="O30" s="22">
        <f>O8-O28</f>
        <v/>
      </c>
      <c r="P30" s="22">
        <f>P8-P28</f>
        <v/>
      </c>
    </row>
    <row r="31">
      <c r="B31" s="8" t="inlineStr">
        <is>
          <t>المبيعات</t>
        </is>
      </c>
      <c r="D31" s="9" t="inlineStr">
        <is>
          <t>افتراضات المبيعات</t>
        </is>
      </c>
      <c r="E31" s="18" t="inlineStr">
        <is>
          <t>%</t>
        </is>
      </c>
      <c r="F31" s="18" t="inlineStr">
        <is>
          <t xml:space="preserve">المساحة </t>
        </is>
      </c>
      <c r="G31" s="18" t="inlineStr">
        <is>
          <t xml:space="preserve">قيمة المتر </t>
        </is>
      </c>
      <c r="H31" s="18" t="inlineStr">
        <is>
          <t xml:space="preserve">إجمالي المبيعات </t>
        </is>
      </c>
      <c r="L31" s="5" t="inlineStr">
        <is>
          <t>Cumulative Cash Flow</t>
        </is>
      </c>
      <c r="N31" s="23">
        <f>N30</f>
        <v/>
      </c>
      <c r="O31" s="23">
        <f>O30+N31</f>
        <v/>
      </c>
      <c r="P31" s="23">
        <f>P30+O31</f>
        <v/>
      </c>
    </row>
    <row r="32">
      <c r="D32" s="5" t="inlineStr">
        <is>
          <t>بيع وحدات</t>
        </is>
      </c>
      <c r="F32" s="10">
        <f>F20</f>
        <v/>
      </c>
      <c r="G32" s="10" t="n">
        <v>12500</v>
      </c>
      <c r="H32" s="10">
        <f>G32*F32</f>
        <v/>
      </c>
    </row>
    <row r="33">
      <c r="D33" s="16" t="inlineStr">
        <is>
          <t>الإجمالي</t>
        </is>
      </c>
      <c r="H33" s="19">
        <f>H32</f>
        <v/>
      </c>
      <c r="L33" s="3" t="inlineStr">
        <is>
          <t>تمويل رأس مال الصندوق</t>
        </is>
      </c>
    </row>
    <row r="34">
      <c r="L34" s="5" t="inlineStr">
        <is>
          <t>Equity</t>
        </is>
      </c>
      <c r="N34" s="23">
        <f>F57</f>
        <v/>
      </c>
    </row>
    <row r="35">
      <c r="L35" s="5" t="inlineStr">
        <is>
          <t>In-Kind Contribution</t>
        </is>
      </c>
      <c r="N35" s="23">
        <f>I12</f>
        <v/>
      </c>
    </row>
    <row r="36">
      <c r="B36" s="8" t="inlineStr">
        <is>
          <t>رسوم الصندوق والتمويل</t>
        </is>
      </c>
      <c r="D36" s="9" t="inlineStr">
        <is>
          <t>Financing &amp; Fund Cost Assumptions</t>
        </is>
      </c>
      <c r="L36" s="5" t="inlineStr">
        <is>
          <t>Debt Withdrawal</t>
        </is>
      </c>
      <c r="N36" s="23" t="n">
        <v>163333333.317</v>
      </c>
    </row>
    <row r="37">
      <c r="D37" s="3" t="inlineStr">
        <is>
          <t xml:space="preserve"> Cost</t>
        </is>
      </c>
      <c r="F37" s="18" t="inlineStr">
        <is>
          <t>Total (SAR)</t>
        </is>
      </c>
      <c r="L37" s="5" t="inlineStr">
        <is>
          <t>Debt Outstanding</t>
        </is>
      </c>
      <c r="N37" s="23">
        <f>N36</f>
        <v/>
      </c>
      <c r="O37" s="23">
        <f>O36+N37</f>
        <v/>
      </c>
    </row>
    <row r="38">
      <c r="D38" s="5" t="inlineStr">
        <is>
          <t xml:space="preserve">فوائد تمويل </t>
        </is>
      </c>
      <c r="E38" s="24" t="n">
        <v>0.08</v>
      </c>
      <c r="F38" s="10" t="n">
        <v>33828312.56739859</v>
      </c>
      <c r="L38" s="5" t="inlineStr">
        <is>
          <t>Debt Repayment</t>
        </is>
      </c>
      <c r="P38" s="6">
        <f>P37</f>
        <v/>
      </c>
    </row>
    <row r="39">
      <c r="D39" s="5" t="inlineStr">
        <is>
          <t xml:space="preserve">أتعاب ترتيب تمويل </t>
        </is>
      </c>
      <c r="E39" s="24" t="n">
        <v>0.02</v>
      </c>
      <c r="F39" s="10" t="n">
        <v>3266666.66634</v>
      </c>
    </row>
    <row r="40">
      <c r="D40" s="5" t="inlineStr">
        <is>
          <t xml:space="preserve">رسوم إدارة الصندوق </t>
        </is>
      </c>
      <c r="E40" s="24" t="n">
        <v>0.015</v>
      </c>
      <c r="F40" s="10" t="n">
        <v>7367531.25</v>
      </c>
      <c r="L40" s="21" t="inlineStr">
        <is>
          <t>Net Cashflows</t>
        </is>
      </c>
      <c r="N40" s="22" t="n">
        <v>-361285762.084012</v>
      </c>
      <c r="O40" s="22" t="n">
        <v>-115853177.5678208</v>
      </c>
      <c r="P40" s="22" t="n">
        <v>592137320.83464</v>
      </c>
    </row>
    <row r="41">
      <c r="D41" s="5" t="inlineStr">
        <is>
          <t>رسوم أمين الحفظ</t>
        </is>
      </c>
      <c r="E41" s="10" t="n">
        <v>50000</v>
      </c>
      <c r="F41" s="10" t="n">
        <v>150000</v>
      </c>
      <c r="L41" s="3" t="inlineStr">
        <is>
          <t>Net Equity Cashflow</t>
        </is>
      </c>
      <c r="M41" s="25" t="n">
        <v>-377918285.5001928</v>
      </c>
      <c r="N41" s="7" t="n">
        <v>0</v>
      </c>
      <c r="O41" s="7" t="n">
        <v>0</v>
      </c>
      <c r="P41" s="7" t="n">
        <v>492916666.683</v>
      </c>
    </row>
    <row r="42">
      <c r="D42" s="5" t="inlineStr">
        <is>
          <t xml:space="preserve">مجلس الإدارة </t>
        </is>
      </c>
      <c r="E42" s="10" t="n">
        <v>100000</v>
      </c>
      <c r="F42" s="10" t="n">
        <v>300000</v>
      </c>
    </row>
    <row r="43">
      <c r="D43" s="5" t="inlineStr">
        <is>
          <t>إصدار الشهادة الشرعية للصندوق</t>
        </is>
      </c>
      <c r="E43" s="10" t="n">
        <v>5000</v>
      </c>
      <c r="F43" s="10" t="n">
        <v>20000</v>
      </c>
      <c r="L43" s="26" t="inlineStr">
        <is>
          <t>Project KPIs</t>
        </is>
      </c>
    </row>
    <row r="44">
      <c r="D44" s="5" t="inlineStr">
        <is>
          <t xml:space="preserve">أتعاب الهيئة الشرعية </t>
        </is>
      </c>
      <c r="E44" s="10" t="n">
        <v>5000</v>
      </c>
      <c r="F44" s="10" t="n">
        <v>20000</v>
      </c>
      <c r="L44" s="9" t="inlineStr">
        <is>
          <t>IRR</t>
        </is>
      </c>
      <c r="N44" s="27">
        <f>IRR(M41:P41)</f>
        <v/>
      </c>
    </row>
    <row r="45">
      <c r="D45" s="5" t="inlineStr">
        <is>
          <t>مستشار قانوني</t>
        </is>
      </c>
      <c r="E45" s="10" t="n">
        <v>50000</v>
      </c>
      <c r="F45" s="10" t="n">
        <v>50000</v>
      </c>
      <c r="L45" s="3" t="inlineStr">
        <is>
          <t>Equity Net Profit</t>
        </is>
      </c>
      <c r="N45" s="7">
        <f>SUM(M41:P41)</f>
        <v/>
      </c>
    </row>
    <row r="46">
      <c r="D46" s="5" t="inlineStr">
        <is>
          <t xml:space="preserve">مراجع الحسابات </t>
        </is>
      </c>
      <c r="E46" s="10" t="n">
        <v>50000</v>
      </c>
      <c r="F46" s="10" t="n">
        <v>150000</v>
      </c>
      <c r="L46" s="9" t="inlineStr">
        <is>
          <t>ROE</t>
        </is>
      </c>
      <c r="N46" s="28">
        <f>-N45/M41</f>
        <v/>
      </c>
    </row>
    <row r="47">
      <c r="D47" s="5" t="inlineStr">
        <is>
          <t xml:space="preserve">التقييم </t>
        </is>
      </c>
      <c r="E47" s="10" t="n">
        <v>20000</v>
      </c>
      <c r="F47" s="10" t="n">
        <v>240000</v>
      </c>
      <c r="L47" s="3" t="inlineStr">
        <is>
          <t xml:space="preserve">ROE Annualized </t>
        </is>
      </c>
      <c r="N47" s="29">
        <f>N46/3</f>
        <v/>
      </c>
    </row>
    <row r="48">
      <c r="D48" s="5" t="inlineStr">
        <is>
          <t>احتياطي مصروفات أخرى</t>
        </is>
      </c>
      <c r="E48" s="24" t="n">
        <v>0.0005</v>
      </c>
      <c r="F48" s="10" t="n">
        <v>245584.375</v>
      </c>
    </row>
    <row r="49">
      <c r="D49" s="5" t="inlineStr">
        <is>
          <t>رسوم إنشاء الشركة ذات الغرض الخاص</t>
        </is>
      </c>
      <c r="E49" s="10" t="n">
        <v>25000</v>
      </c>
      <c r="F49" s="10" t="n">
        <v>25000</v>
      </c>
    </row>
    <row r="50">
      <c r="D50" s="5" t="inlineStr">
        <is>
          <t xml:space="preserve">رسوم هيكلة </t>
        </is>
      </c>
      <c r="E50" s="11" t="n">
        <v>0.01</v>
      </c>
      <c r="F50" s="10" t="n">
        <v>3703020.8334542</v>
      </c>
    </row>
    <row r="51">
      <c r="D51" s="5" t="inlineStr">
        <is>
          <t>أتعاب المشغل</t>
        </is>
      </c>
      <c r="E51" s="24" t="n">
        <v>0.0015</v>
      </c>
      <c r="F51" s="10" t="n">
        <v>736753.125</v>
      </c>
    </row>
    <row r="52">
      <c r="D52" s="16" t="inlineStr">
        <is>
          <t>Total Financing &amp; Fund Cost</t>
        </is>
      </c>
      <c r="F52" s="17">
        <f>SUM(F38:F51)</f>
        <v/>
      </c>
    </row>
    <row r="53"/>
    <row r="54">
      <c r="D54" s="16" t="inlineStr">
        <is>
          <t>Total Fund Size</t>
        </is>
      </c>
      <c r="F54" s="17">
        <f>F16+H29+F52</f>
        <v/>
      </c>
    </row>
    <row r="56">
      <c r="D56" s="9" t="inlineStr">
        <is>
          <t>Capital Structure</t>
        </is>
      </c>
    </row>
    <row r="57">
      <c r="D57" s="3" t="inlineStr">
        <is>
          <t>Equity</t>
        </is>
      </c>
      <c r="E57" s="12">
        <f>F57/$F$60</f>
        <v/>
      </c>
      <c r="F57" s="7">
        <f>F54-SUM(F58:F59)</f>
        <v/>
      </c>
    </row>
    <row r="58">
      <c r="D58" s="5" t="inlineStr">
        <is>
          <t>In-Kind (Land Owner)</t>
        </is>
      </c>
      <c r="E58" s="12">
        <f>F58/$F$60</f>
        <v/>
      </c>
      <c r="F58" s="6">
        <f>I12</f>
        <v/>
      </c>
    </row>
    <row r="59">
      <c r="D59" s="5" t="inlineStr">
        <is>
          <t>Bank Financing</t>
        </is>
      </c>
      <c r="E59" s="12">
        <f>F59/$F$60</f>
        <v/>
      </c>
      <c r="F59" s="6">
        <f>0.6666666666*F12</f>
        <v/>
      </c>
      <c r="G59" s="12" t="n">
        <v>0.6666666666</v>
      </c>
    </row>
    <row r="60">
      <c r="D60" s="16" t="inlineStr">
        <is>
          <t>Total Capital</t>
        </is>
      </c>
      <c r="E60" s="30">
        <f>SUM(E57:E59)</f>
        <v/>
      </c>
      <c r="F60" s="17">
        <f>SUM(F57:F59)</f>
        <v/>
      </c>
    </row>
  </sheetData>
  <mergeCells count="6">
    <mergeCell ref="E4:F4"/>
    <mergeCell ref="E6:F6"/>
    <mergeCell ref="E7:F7"/>
    <mergeCell ref="E2:F2"/>
    <mergeCell ref="E5:F5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"/>
  <sheetViews>
    <sheetView rightToLeft="1" workbookViewId="0">
      <selection activeCell="A1" sqref="A1"/>
    </sheetView>
  </sheetViews>
  <sheetFormatPr baseColWidth="8" defaultRowHeight="15"/>
  <cols>
    <col width="28" customWidth="1" min="2" max="2"/>
    <col width="35" customWidth="1" min="4" max="4"/>
  </cols>
  <sheetData>
    <row r="1">
      <c r="B1" s="31" t="inlineStr">
        <is>
          <t>تقرير أنظمة البناء والتنظيم</t>
        </is>
      </c>
    </row>
    <row r="3">
      <c r="B3" s="32" t="inlineStr">
        <is>
          <t>رقم القطعة</t>
        </is>
      </c>
      <c r="D3" s="33" t="inlineStr">
        <is>
          <t>TEST</t>
        </is>
      </c>
    </row>
    <row r="4">
      <c r="B4" s="32" t="inlineStr">
        <is>
          <t>رقم المخطط</t>
        </is>
      </c>
      <c r="D4" s="33" t="inlineStr">
        <is>
          <t>TEST</t>
        </is>
      </c>
    </row>
    <row r="5">
      <c r="B5" s="32" t="inlineStr">
        <is>
          <t>الحي</t>
        </is>
      </c>
      <c r="D5" s="33" t="inlineStr">
        <is>
          <t>الهدا</t>
        </is>
      </c>
    </row>
    <row r="6">
      <c r="B6" s="32" t="inlineStr">
        <is>
          <t>البلدية</t>
        </is>
      </c>
      <c r="D6" s="33" t="inlineStr">
        <is>
          <t>أمانة منطقة الرياض</t>
        </is>
      </c>
    </row>
    <row r="7">
      <c r="B7" s="32" t="inlineStr">
        <is>
          <t>مساحة الأرض (م²)</t>
        </is>
      </c>
      <c r="D7" s="33" t="n">
        <v>35000</v>
      </c>
    </row>
    <row r="8">
      <c r="B8" s="32" t="inlineStr">
        <is>
          <t>نظام البناء</t>
        </is>
      </c>
      <c r="D8" s="33" t="inlineStr">
        <is>
          <t>Al-Hada Test</t>
        </is>
      </c>
    </row>
    <row r="10">
      <c r="B10" s="32" t="inlineStr">
        <is>
          <t>عدد الأدوار</t>
        </is>
      </c>
      <c r="D10" s="33" t="n"/>
    </row>
    <row r="11">
      <c r="B11" s="32" t="inlineStr">
        <is>
          <t>معامل البناء (FAR)</t>
        </is>
      </c>
      <c r="D11" s="33" t="n">
        <v>1.5</v>
      </c>
    </row>
    <row r="12">
      <c r="B12" s="32" t="inlineStr">
        <is>
          <t>نسبة التغطية</t>
        </is>
      </c>
      <c r="D12" s="34" t="n">
        <v>0.6</v>
      </c>
    </row>
    <row r="13">
      <c r="B13" s="32" t="inlineStr">
        <is>
          <t>الاستخدامات المسموحة</t>
        </is>
      </c>
      <c r="D13" s="33" t="inlineStr">
        <is>
          <t>residential</t>
        </is>
      </c>
    </row>
    <row r="14">
      <c r="B14" s="32" t="inlineStr">
        <is>
          <t>الارتدادات (م)</t>
        </is>
      </c>
      <c r="D14" s="33" t="inlineStr"/>
    </row>
    <row r="15">
      <c r="B15" s="32" t="inlineStr">
        <is>
          <t>الاستخدام الرئيسي</t>
        </is>
      </c>
      <c r="D15" s="33" t="n"/>
    </row>
    <row r="16">
      <c r="B16" s="32" t="inlineStr">
        <is>
          <t>استخدام الأرض</t>
        </is>
      </c>
      <c r="D16" s="33" t="n"/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0"/>
  <sheetViews>
    <sheetView rightToLeft="1" workbookViewId="0">
      <selection activeCell="A1" sqref="A1"/>
    </sheetView>
  </sheetViews>
  <sheetFormatPr baseColWidth="8" defaultRowHeight="15"/>
  <cols>
    <col width="25" customWidth="1" min="2" max="2"/>
    <col width="25" customWidth="1" min="4" max="4"/>
  </cols>
  <sheetData>
    <row r="1">
      <c r="B1" s="31" t="inlineStr">
        <is>
          <t>بيانات البورصة العقارية (SREM)</t>
        </is>
      </c>
    </row>
    <row r="3">
      <c r="B3" s="32" t="inlineStr">
        <is>
          <t>مؤشر السوق</t>
        </is>
      </c>
      <c r="D3" s="35" t="n">
        <v>10712</v>
      </c>
    </row>
    <row r="4">
      <c r="B4" s="32" t="inlineStr">
        <is>
          <t>التغير</t>
        </is>
      </c>
      <c r="D4" s="36" t="n">
        <v>-3.3</v>
      </c>
    </row>
    <row r="5">
      <c r="B5" s="32" t="inlineStr">
        <is>
          <t>عدد الصفقات اليومية</t>
        </is>
      </c>
      <c r="D5" s="35" t="n">
        <v>885</v>
      </c>
    </row>
    <row r="6">
      <c r="B6" s="32" t="inlineStr">
        <is>
          <t>إجمالي القيمة اليومية (ر.س)</t>
        </is>
      </c>
      <c r="D6" s="35" t="n">
        <v>677228077</v>
      </c>
    </row>
    <row r="7">
      <c r="B7" s="32" t="inlineStr">
        <is>
          <t>متوسط السعر / م²</t>
        </is>
      </c>
      <c r="D7" s="36" t="n">
        <v>87</v>
      </c>
    </row>
    <row r="10">
      <c r="B10" s="1" t="inlineStr">
        <is>
          <t>المصدر: البورصة العقارية - وزارة العدل</t>
        </is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8"/>
  <sheetViews>
    <sheetView rightToLeft="1"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31" t="inlineStr">
        <is>
          <t>تحليل الحساسية - معدل العائد الداخلي (IRR)</t>
        </is>
      </c>
    </row>
    <row r="3">
      <c r="B3" s="4" t="inlineStr">
        <is>
          <t>سعر البيع ↓ \ التكلفة →</t>
        </is>
      </c>
      <c r="C3" s="37" t="n">
        <v>2400</v>
      </c>
      <c r="D3" s="37" t="n">
        <v>2700</v>
      </c>
      <c r="E3" s="37" t="n">
        <v>3000</v>
      </c>
      <c r="F3" s="37" t="n">
        <v>3300</v>
      </c>
      <c r="G3" s="37" t="n">
        <v>3600</v>
      </c>
    </row>
    <row r="4">
      <c r="B4" s="37" t="n">
        <v>10000</v>
      </c>
      <c r="C4" s="38" t="n">
        <v>0.0210028866057328</v>
      </c>
      <c r="D4" s="38" t="n">
        <v>0.002599522311766966</v>
      </c>
      <c r="E4" s="39" t="n">
        <v>-0.01454485953194795</v>
      </c>
      <c r="F4" s="39" t="n">
        <v>-0.0305736452297789</v>
      </c>
      <c r="G4" s="39" t="n">
        <v>-0.04560797503968317</v>
      </c>
    </row>
    <row r="5">
      <c r="B5" s="37" t="n">
        <v>11250</v>
      </c>
      <c r="C5" s="38" t="n">
        <v>0.07935825266464258</v>
      </c>
      <c r="D5" s="38" t="n">
        <v>0.05990304505644395</v>
      </c>
      <c r="E5" s="38" t="n">
        <v>0.04177877697394461</v>
      </c>
      <c r="F5" s="38" t="n">
        <v>0.02483386687612588</v>
      </c>
      <c r="G5" s="38" t="n">
        <v>0.008940250739986721</v>
      </c>
    </row>
    <row r="6">
      <c r="B6" s="37" t="n">
        <v>12500</v>
      </c>
      <c r="C6" s="40" t="n">
        <v>0.1320057766862428</v>
      </c>
      <c r="D6" s="40" t="n">
        <v>0.1116016084272418</v>
      </c>
      <c r="E6" s="38" t="n">
        <v>0.09259329851998999</v>
      </c>
      <c r="F6" s="38" t="n">
        <v>0.0748218717774749</v>
      </c>
      <c r="G6" s="38" t="n">
        <v>0.05815301763740854</v>
      </c>
    </row>
    <row r="7">
      <c r="B7" s="37" t="n">
        <v>13750</v>
      </c>
      <c r="C7" s="40" t="n">
        <v>0.1801648287206143</v>
      </c>
      <c r="D7" s="40" t="n">
        <v>0.1588926035831577</v>
      </c>
      <c r="E7" s="40" t="n">
        <v>0.139075620959952</v>
      </c>
      <c r="F7" s="40" t="n">
        <v>0.1205481423643062</v>
      </c>
      <c r="G7" s="40" t="n">
        <v>0.1031701432442254</v>
      </c>
    </row>
    <row r="8">
      <c r="B8" s="37" t="n">
        <v>15000</v>
      </c>
      <c r="C8" s="40" t="n">
        <v>0.2246848140180926</v>
      </c>
      <c r="D8" s="40" t="n">
        <v>0.2026101254218742</v>
      </c>
      <c r="E8" s="40" t="n">
        <v>0.1820455762269872</v>
      </c>
      <c r="F8" s="40" t="n">
        <v>0.1628191757056883</v>
      </c>
      <c r="G8" s="40" t="n">
        <v>0.1447856170853599</v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1"/>
  <sheetViews>
    <sheetView rightToLeft="1" workbookViewId="0">
      <selection activeCell="A1" sqref="A1"/>
    </sheetView>
  </sheetViews>
  <sheetFormatPr baseColWidth="8" defaultRowHeight="15"/>
  <cols>
    <col width="25" customWidth="1" min="2" max="2"/>
    <col width="22" customWidth="1" min="3" max="3"/>
    <col width="22" customWidth="1" min="4" max="4"/>
    <col width="22" customWidth="1" min="5" max="5"/>
  </cols>
  <sheetData>
    <row r="1">
      <c r="B1" s="31" t="inlineStr">
        <is>
          <t>مقارنة السيناريوهات</t>
        </is>
      </c>
    </row>
    <row r="3">
      <c r="B3" s="41" t="inlineStr">
        <is>
          <t>السيناريو</t>
        </is>
      </c>
      <c r="C3" s="41" t="inlineStr">
        <is>
          <t>متحفظ</t>
        </is>
      </c>
      <c r="D3" s="41" t="inlineStr">
        <is>
          <t>أساسي</t>
        </is>
      </c>
      <c r="E3" s="41" t="inlineStr">
        <is>
          <t>جريء</t>
        </is>
      </c>
    </row>
    <row r="4">
      <c r="B4" s="33" t="inlineStr">
        <is>
          <t>سعر البيع / م²</t>
        </is>
      </c>
      <c r="C4" s="35" t="n">
        <v>10000</v>
      </c>
      <c r="D4" s="35" t="n">
        <v>12500</v>
      </c>
      <c r="E4" s="35" t="n">
        <v>16250</v>
      </c>
    </row>
    <row r="5">
      <c r="B5" s="42" t="inlineStr">
        <is>
          <t>حجم الصندوق</t>
        </is>
      </c>
      <c r="C5" s="33" t="inlineStr">
        <is>
          <t>—</t>
        </is>
      </c>
      <c r="D5" s="35" t="n">
        <v>541251618.8171928</v>
      </c>
      <c r="E5" s="33" t="inlineStr">
        <is>
          <t>—</t>
        </is>
      </c>
    </row>
    <row r="6">
      <c r="B6" s="42" t="inlineStr">
        <is>
          <t>حقوق الملكية</t>
        </is>
      </c>
      <c r="C6" s="33" t="inlineStr">
        <is>
          <t>—</t>
        </is>
      </c>
      <c r="D6" s="35" t="n">
        <v>377918285.5001928</v>
      </c>
      <c r="E6" s="33" t="inlineStr">
        <is>
          <t>—</t>
        </is>
      </c>
    </row>
    <row r="7">
      <c r="B7" s="42" t="inlineStr">
        <is>
          <t>معدل العائد الداخلي</t>
        </is>
      </c>
      <c r="C7" s="33" t="inlineStr">
        <is>
          <t>—</t>
        </is>
      </c>
      <c r="D7" s="34" t="n">
        <v>0.09259329851998999</v>
      </c>
      <c r="E7" s="33" t="inlineStr">
        <is>
          <t>—</t>
        </is>
      </c>
    </row>
    <row r="8">
      <c r="B8" s="42" t="inlineStr">
        <is>
          <t>العائد على الملكية</t>
        </is>
      </c>
      <c r="C8" s="33" t="inlineStr">
        <is>
          <t>—</t>
        </is>
      </c>
      <c r="D8" s="34" t="n">
        <v>0.3042943027501339</v>
      </c>
      <c r="E8" s="33" t="inlineStr">
        <is>
          <t>—</t>
        </is>
      </c>
    </row>
    <row r="9">
      <c r="B9" s="42" t="inlineStr">
        <is>
          <t>صافي الربح</t>
        </is>
      </c>
      <c r="C9" s="33" t="inlineStr">
        <is>
          <t>—</t>
        </is>
      </c>
      <c r="D9" s="35" t="n">
        <v>114998381.1828072</v>
      </c>
      <c r="E9" s="33" t="inlineStr">
        <is>
          <t>—</t>
        </is>
      </c>
    </row>
    <row r="11">
      <c r="B11" s="1" t="inlineStr">
        <is>
          <t>* السيناريوهات المتحفظة والجريئة تتطلب إعادة حساب كامل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2026-02-11T21:12:29Z</dcterms:created>
  <dcterms:modified xmlns:dcterms="http://purl.org/dc/terms/" xmlns:xsi="http://www.w3.org/2001/XMLSchema-instance" xsi:type="dcterms:W3CDTF">2026-02-11T21:12:29Z</dcterms:modified>
</cp:coreProperties>
</file>